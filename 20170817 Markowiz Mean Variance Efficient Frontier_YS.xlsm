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quantec\Desktop\work at office\asset allocation\"/>
    </mc:Choice>
  </mc:AlternateContent>
  <bookViews>
    <workbookView xWindow="0" yWindow="0" windowWidth="25125" windowHeight="12255"/>
  </bookViews>
  <sheets>
    <sheet name="최종버전_로그" sheetId="18" r:id="rId1"/>
    <sheet name="Sheet1" sheetId="20" r:id="rId2"/>
    <sheet name="기초 데이터" sheetId="19" r:id="rId3"/>
  </sheets>
  <definedNames>
    <definedName name="Correlations" localSheetId="0">최종버전_로그!#REF!</definedName>
    <definedName name="Correlations">#REF!</definedName>
    <definedName name="Covariance" localSheetId="0">최종버전_로그!#REF!</definedName>
    <definedName name="Covariance">#REF!</definedName>
    <definedName name="Delta" localSheetId="0">최종버전_로그!#REF!</definedName>
    <definedName name="Delta">#REF!</definedName>
    <definedName name="EqWeights" localSheetId="0">최종버전_로그!#REF!</definedName>
    <definedName name="EqWeights">#REF!</definedName>
    <definedName name="Er" localSheetId="0">최종버전_로그!#REF!</definedName>
    <definedName name="Er">#REF!</definedName>
    <definedName name="Er_1" localSheetId="0">최종버전_로그!#REF!</definedName>
    <definedName name="Er_1">#REF!</definedName>
    <definedName name="Er_1_100" localSheetId="0">최종버전_로그!#REF!</definedName>
    <definedName name="Er_1_100">#REF!</definedName>
    <definedName name="Er_100" localSheetId="0">최종버전_로그!#REF!</definedName>
    <definedName name="Er_100">#REF!</definedName>
    <definedName name="Er_2" localSheetId="0">최종버전_로그!#REF!</definedName>
    <definedName name="Er_2">#REF!</definedName>
    <definedName name="Er_2_100" localSheetId="0">최종버전_로그!#REF!</definedName>
    <definedName name="Er_2_100">#REF!</definedName>
    <definedName name="Er_3" localSheetId="0">최종버전_로그!#REF!</definedName>
    <definedName name="Er_3">#REF!</definedName>
    <definedName name="Er_3_100" localSheetId="0">최종버전_로그!#REF!</definedName>
    <definedName name="Er_3_100">#REF!</definedName>
    <definedName name="Middle" localSheetId="0">최종버전_로그!#REF!</definedName>
    <definedName name="Middle">#REF!</definedName>
    <definedName name="Omega" localSheetId="0">최종버전_로그!#REF!</definedName>
    <definedName name="Omega">#REF!</definedName>
    <definedName name="Omega_1" localSheetId="0">최종버전_로그!#REF!</definedName>
    <definedName name="Omega_1">#REF!</definedName>
    <definedName name="Omega_2" localSheetId="0">최종버전_로그!#REF!</definedName>
    <definedName name="Omega_2">#REF!</definedName>
    <definedName name="Omega_3" localSheetId="0">최종버전_로그!#REF!</definedName>
    <definedName name="Omega_3">#REF!</definedName>
    <definedName name="P" localSheetId="0">최종버전_로그!#REF!</definedName>
    <definedName name="P">#REF!</definedName>
    <definedName name="P_1" localSheetId="0">최종버전_로그!#REF!</definedName>
    <definedName name="P_1">#REF!</definedName>
    <definedName name="P_2" localSheetId="0">최종버전_로그!#REF!</definedName>
    <definedName name="P_2">#REF!</definedName>
    <definedName name="P_3" localSheetId="0">최종버전_로그!#REF!</definedName>
    <definedName name="P_3">#REF!</definedName>
    <definedName name="pi" localSheetId="0">최종버전_로그!#REF!</definedName>
    <definedName name="pi">#REF!</definedName>
    <definedName name="Posterior_Sigma" localSheetId="0">최종버전_로그!#REF!</definedName>
    <definedName name="Posterior_Sigma">#REF!</definedName>
    <definedName name="Q" localSheetId="0">최종버전_로그!#REF!</definedName>
    <definedName name="Q">#REF!</definedName>
    <definedName name="Q_1" localSheetId="0">최종버전_로그!#REF!</definedName>
    <definedName name="Q_1">#REF!</definedName>
    <definedName name="Q_2" localSheetId="0">최종버전_로그!#REF!</definedName>
    <definedName name="Q_2">#REF!</definedName>
    <definedName name="Q_3" localSheetId="0">최종버전_로그!#REF!</definedName>
    <definedName name="Q_3">#REF!</definedName>
    <definedName name="Sigma" localSheetId="0">최종버전_로그!#REF!</definedName>
    <definedName name="Sigma">#REF!</definedName>
    <definedName name="solver_adj" localSheetId="0" hidden="1">최종버전_로그!$J$10:$J$13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최종버전_로그!$J$19</definedName>
    <definedName name="solver_lhs1" localSheetId="0" hidden="1">최종버전_로그!$J$10:$J$13</definedName>
    <definedName name="solver_lhs2" localSheetId="0" hidden="1">최종버전_로그!$J$14</definedName>
    <definedName name="solver_lhs3" localSheetId="0" hidden="1">최종버전_로그!$J$19</definedName>
    <definedName name="solver_lhs4" localSheetId="0" hidden="1">최종버전_로그!$J$10:$J$13</definedName>
    <definedName name="solver_lhs5" localSheetId="0" hidden="1">최종버전_로그!$J$10:$J$13</definedName>
    <definedName name="solver_lhs6" localSheetId="0" hidden="1">최종버전_로그!$J$10:$J$13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od" localSheetId="0" hidden="1">2147483647</definedName>
    <definedName name="solver_num" localSheetId="2" hidden="1">0</definedName>
    <definedName name="solver_num" localSheetId="0" hidden="1">2</definedName>
    <definedName name="solver_nwt" localSheetId="0" hidden="1">1</definedName>
    <definedName name="solver_opt" localSheetId="2" hidden="1">'기초 데이터'!$K$6</definedName>
    <definedName name="solver_opt" localSheetId="0" hidden="1">최종버전_로그!$J$17</definedName>
    <definedName name="solver_pre" localSheetId="0" hidden="1">0.000001</definedName>
    <definedName name="solver_rbv" localSheetId="0" hidden="1">2</definedName>
    <definedName name="solver_rel0" localSheetId="0" hidden="1">2</definedName>
    <definedName name="solver_rel1" localSheetId="0" hidden="1">3</definedName>
    <definedName name="solver_rel2" localSheetId="0" hidden="1">2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hs0" localSheetId="0" hidden="1">0.0555777053999999</definedName>
    <definedName name="solver_rhs1" localSheetId="0" hidden="1">0</definedName>
    <definedName name="solver_rhs2" localSheetId="0" hidden="1">1</definedName>
    <definedName name="solver_rhs3" localSheetId="0" hidden="1">0.187033313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2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  <definedName name="Tau" localSheetId="0">최종버전_로그!#REF!</definedName>
    <definedName name="Tau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0" l="1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E2" i="20"/>
  <c r="D2" i="20"/>
  <c r="C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2" i="20"/>
  <c r="C2" i="18"/>
  <c r="I12" i="18" l="1"/>
  <c r="I13" i="18"/>
  <c r="I11" i="18"/>
  <c r="K13" i="18" l="1"/>
  <c r="K12" i="18"/>
  <c r="K11" i="18"/>
  <c r="K10" i="18"/>
  <c r="F125" i="18"/>
  <c r="E125" i="18"/>
  <c r="D125" i="18"/>
  <c r="C125" i="18"/>
  <c r="S31" i="18" l="1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30" i="18"/>
  <c r="T31" i="18" l="1"/>
  <c r="T30" i="18"/>
  <c r="T53" i="18"/>
  <c r="T45" i="18"/>
  <c r="T37" i="18"/>
  <c r="T54" i="18"/>
  <c r="T46" i="18"/>
  <c r="T38" i="18"/>
  <c r="T52" i="18"/>
  <c r="T44" i="18"/>
  <c r="T36" i="18"/>
  <c r="T51" i="18"/>
  <c r="T43" i="18"/>
  <c r="T35" i="18"/>
  <c r="T50" i="18"/>
  <c r="T42" i="18"/>
  <c r="T34" i="18"/>
  <c r="T49" i="18"/>
  <c r="T41" i="18"/>
  <c r="T33" i="18"/>
  <c r="T48" i="18"/>
  <c r="T40" i="18"/>
  <c r="T32" i="18"/>
  <c r="T55" i="18"/>
  <c r="T47" i="18"/>
  <c r="T39" i="18"/>
  <c r="K8" i="18"/>
  <c r="J14" i="18" l="1"/>
  <c r="F124" i="18" l="1"/>
  <c r="E124" i="18"/>
  <c r="D124" i="18"/>
  <c r="C124" i="18"/>
  <c r="D3" i="18" l="1"/>
  <c r="E3" i="18"/>
  <c r="F3" i="18"/>
  <c r="D4" i="18"/>
  <c r="E4" i="18"/>
  <c r="F4" i="18"/>
  <c r="D5" i="18"/>
  <c r="E5" i="18"/>
  <c r="F5" i="18"/>
  <c r="D6" i="18"/>
  <c r="E6" i="18"/>
  <c r="F6" i="18"/>
  <c r="D7" i="18"/>
  <c r="E7" i="18"/>
  <c r="F7" i="18"/>
  <c r="D8" i="18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D28" i="18"/>
  <c r="E28" i="18"/>
  <c r="F28" i="18"/>
  <c r="D29" i="18"/>
  <c r="E29" i="18"/>
  <c r="F29" i="18"/>
  <c r="D30" i="18"/>
  <c r="E30" i="18"/>
  <c r="F30" i="18"/>
  <c r="D31" i="18"/>
  <c r="E31" i="18"/>
  <c r="F31" i="18"/>
  <c r="D32" i="18"/>
  <c r="E32" i="18"/>
  <c r="F32" i="18"/>
  <c r="D33" i="18"/>
  <c r="E33" i="18"/>
  <c r="F33" i="18"/>
  <c r="D34" i="18"/>
  <c r="E34" i="18"/>
  <c r="F34" i="18"/>
  <c r="D35" i="18"/>
  <c r="E35" i="18"/>
  <c r="F35" i="18"/>
  <c r="D36" i="18"/>
  <c r="E36" i="18"/>
  <c r="F36" i="18"/>
  <c r="D37" i="18"/>
  <c r="E37" i="18"/>
  <c r="F37" i="18"/>
  <c r="D38" i="18"/>
  <c r="E38" i="18"/>
  <c r="F38" i="18"/>
  <c r="D39" i="18"/>
  <c r="E39" i="18"/>
  <c r="F39" i="18"/>
  <c r="D40" i="18"/>
  <c r="E40" i="18"/>
  <c r="F40" i="18"/>
  <c r="D41" i="18"/>
  <c r="E41" i="18"/>
  <c r="F41" i="18"/>
  <c r="D42" i="18"/>
  <c r="E42" i="18"/>
  <c r="F42" i="18"/>
  <c r="D43" i="18"/>
  <c r="E43" i="18"/>
  <c r="F43" i="18"/>
  <c r="D44" i="18"/>
  <c r="E44" i="18"/>
  <c r="F44" i="18"/>
  <c r="D45" i="18"/>
  <c r="E45" i="18"/>
  <c r="F45" i="18"/>
  <c r="D46" i="18"/>
  <c r="E46" i="18"/>
  <c r="F46" i="18"/>
  <c r="D47" i="18"/>
  <c r="E47" i="18"/>
  <c r="F47" i="18"/>
  <c r="D48" i="18"/>
  <c r="E48" i="18"/>
  <c r="F48" i="18"/>
  <c r="D49" i="18"/>
  <c r="E49" i="18"/>
  <c r="F49" i="18"/>
  <c r="D50" i="18"/>
  <c r="E50" i="18"/>
  <c r="F50" i="18"/>
  <c r="D51" i="18"/>
  <c r="E51" i="18"/>
  <c r="F51" i="18"/>
  <c r="D52" i="18"/>
  <c r="E52" i="18"/>
  <c r="F52" i="18"/>
  <c r="D53" i="18"/>
  <c r="E53" i="18"/>
  <c r="F53" i="18"/>
  <c r="D54" i="18"/>
  <c r="E54" i="18"/>
  <c r="F54" i="18"/>
  <c r="D55" i="18"/>
  <c r="E55" i="18"/>
  <c r="F55" i="18"/>
  <c r="D56" i="18"/>
  <c r="E56" i="18"/>
  <c r="F56" i="18"/>
  <c r="D57" i="18"/>
  <c r="E57" i="18"/>
  <c r="F57" i="18"/>
  <c r="D58" i="18"/>
  <c r="E58" i="18"/>
  <c r="F58" i="18"/>
  <c r="D59" i="18"/>
  <c r="E59" i="18"/>
  <c r="F59" i="18"/>
  <c r="D60" i="18"/>
  <c r="E60" i="18"/>
  <c r="F60" i="18"/>
  <c r="D61" i="18"/>
  <c r="E61" i="18"/>
  <c r="F61" i="18"/>
  <c r="D62" i="18"/>
  <c r="E62" i="18"/>
  <c r="F62" i="18"/>
  <c r="D63" i="18"/>
  <c r="E63" i="18"/>
  <c r="F63" i="18"/>
  <c r="D64" i="18"/>
  <c r="E64" i="18"/>
  <c r="F64" i="18"/>
  <c r="D65" i="18"/>
  <c r="E65" i="18"/>
  <c r="F65" i="18"/>
  <c r="D66" i="18"/>
  <c r="E66" i="18"/>
  <c r="F66" i="18"/>
  <c r="D67" i="18"/>
  <c r="E67" i="18"/>
  <c r="F67" i="18"/>
  <c r="D68" i="18"/>
  <c r="E68" i="18"/>
  <c r="F68" i="18"/>
  <c r="D69" i="18"/>
  <c r="E69" i="18"/>
  <c r="F69" i="18"/>
  <c r="D70" i="18"/>
  <c r="E70" i="18"/>
  <c r="F70" i="18"/>
  <c r="D71" i="18"/>
  <c r="E71" i="18"/>
  <c r="F71" i="18"/>
  <c r="D72" i="18"/>
  <c r="E72" i="18"/>
  <c r="F72" i="18"/>
  <c r="D73" i="18"/>
  <c r="E73" i="18"/>
  <c r="F73" i="18"/>
  <c r="D74" i="18"/>
  <c r="E74" i="18"/>
  <c r="F74" i="18"/>
  <c r="D75" i="18"/>
  <c r="E75" i="18"/>
  <c r="F75" i="18"/>
  <c r="D76" i="18"/>
  <c r="E76" i="18"/>
  <c r="F76" i="18"/>
  <c r="D77" i="18"/>
  <c r="E77" i="18"/>
  <c r="F77" i="18"/>
  <c r="D78" i="18"/>
  <c r="E78" i="18"/>
  <c r="F78" i="18"/>
  <c r="D79" i="18"/>
  <c r="E79" i="18"/>
  <c r="F79" i="18"/>
  <c r="D80" i="18"/>
  <c r="E80" i="18"/>
  <c r="F80" i="18"/>
  <c r="D81" i="18"/>
  <c r="E81" i="18"/>
  <c r="F81" i="18"/>
  <c r="D82" i="18"/>
  <c r="E82" i="18"/>
  <c r="F82" i="18"/>
  <c r="D83" i="18"/>
  <c r="E83" i="18"/>
  <c r="F83" i="18"/>
  <c r="D84" i="18"/>
  <c r="E84" i="18"/>
  <c r="F84" i="18"/>
  <c r="D85" i="18"/>
  <c r="E85" i="18"/>
  <c r="F85" i="18"/>
  <c r="D86" i="18"/>
  <c r="E86" i="18"/>
  <c r="F86" i="18"/>
  <c r="D87" i="18"/>
  <c r="E87" i="18"/>
  <c r="F87" i="18"/>
  <c r="D88" i="18"/>
  <c r="E88" i="18"/>
  <c r="F88" i="18"/>
  <c r="D89" i="18"/>
  <c r="E89" i="18"/>
  <c r="F89" i="18"/>
  <c r="D90" i="18"/>
  <c r="E90" i="18"/>
  <c r="F90" i="18"/>
  <c r="D91" i="18"/>
  <c r="E91" i="18"/>
  <c r="F91" i="18"/>
  <c r="D92" i="18"/>
  <c r="E92" i="18"/>
  <c r="F92" i="18"/>
  <c r="D93" i="18"/>
  <c r="E93" i="18"/>
  <c r="F93" i="18"/>
  <c r="D94" i="18"/>
  <c r="E94" i="18"/>
  <c r="F94" i="18"/>
  <c r="D95" i="18"/>
  <c r="E95" i="18"/>
  <c r="F95" i="18"/>
  <c r="D96" i="18"/>
  <c r="E96" i="18"/>
  <c r="F96" i="18"/>
  <c r="D97" i="18"/>
  <c r="E97" i="18"/>
  <c r="F97" i="18"/>
  <c r="D98" i="18"/>
  <c r="E98" i="18"/>
  <c r="F98" i="18"/>
  <c r="D99" i="18"/>
  <c r="E99" i="18"/>
  <c r="F99" i="18"/>
  <c r="D100" i="18"/>
  <c r="E100" i="18"/>
  <c r="F100" i="18"/>
  <c r="D101" i="18"/>
  <c r="E101" i="18"/>
  <c r="F101" i="18"/>
  <c r="D102" i="18"/>
  <c r="E102" i="18"/>
  <c r="F102" i="18"/>
  <c r="D103" i="18"/>
  <c r="E103" i="18"/>
  <c r="F103" i="18"/>
  <c r="D104" i="18"/>
  <c r="E104" i="18"/>
  <c r="F104" i="18"/>
  <c r="D105" i="18"/>
  <c r="E105" i="18"/>
  <c r="F105" i="18"/>
  <c r="D106" i="18"/>
  <c r="E106" i="18"/>
  <c r="F106" i="18"/>
  <c r="D107" i="18"/>
  <c r="E107" i="18"/>
  <c r="F107" i="18"/>
  <c r="D108" i="18"/>
  <c r="E108" i="18"/>
  <c r="F108" i="18"/>
  <c r="D109" i="18"/>
  <c r="E109" i="18"/>
  <c r="F109" i="18"/>
  <c r="D110" i="18"/>
  <c r="E110" i="18"/>
  <c r="F110" i="18"/>
  <c r="D111" i="18"/>
  <c r="E111" i="18"/>
  <c r="F111" i="18"/>
  <c r="D112" i="18"/>
  <c r="E112" i="18"/>
  <c r="F112" i="18"/>
  <c r="D113" i="18"/>
  <c r="E113" i="18"/>
  <c r="F113" i="18"/>
  <c r="D114" i="18"/>
  <c r="E114" i="18"/>
  <c r="F114" i="18"/>
  <c r="D115" i="18"/>
  <c r="E115" i="18"/>
  <c r="F115" i="18"/>
  <c r="D116" i="18"/>
  <c r="E116" i="18"/>
  <c r="F116" i="18"/>
  <c r="D117" i="18"/>
  <c r="E117" i="18"/>
  <c r="F117" i="18"/>
  <c r="D118" i="18"/>
  <c r="E118" i="18"/>
  <c r="F118" i="18"/>
  <c r="D119" i="18"/>
  <c r="E119" i="18"/>
  <c r="F119" i="18"/>
  <c r="D120" i="18"/>
  <c r="E120" i="18"/>
  <c r="F120" i="18"/>
  <c r="D121" i="18"/>
  <c r="E121" i="18"/>
  <c r="F121" i="18"/>
  <c r="F2" i="18"/>
  <c r="E2" i="18"/>
  <c r="D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F123" i="18" l="1"/>
  <c r="C123" i="18"/>
  <c r="I10" i="18" s="1"/>
  <c r="I15" i="18" s="1"/>
  <c r="D123" i="18"/>
  <c r="E123" i="18"/>
  <c r="I2" i="18" l="1" a="1"/>
  <c r="J5" i="18" s="1"/>
  <c r="J16" i="18" a="1"/>
  <c r="J16" i="18" s="1"/>
  <c r="I2" i="18" l="1"/>
  <c r="K2" i="18"/>
  <c r="J4" i="18"/>
  <c r="I3" i="18"/>
  <c r="J2" i="18"/>
  <c r="L3" i="18"/>
  <c r="K5" i="18"/>
  <c r="I5" i="18"/>
  <c r="L5" i="18"/>
  <c r="L4" i="18"/>
  <c r="K4" i="18"/>
  <c r="J3" i="18"/>
  <c r="K3" i="18"/>
  <c r="I4" i="18"/>
  <c r="L2" i="18"/>
  <c r="J19" i="18" s="1"/>
  <c r="J18" i="18" s="1"/>
</calcChain>
</file>

<file path=xl/sharedStrings.xml><?xml version="1.0" encoding="utf-8"?>
<sst xmlns="http://schemas.openxmlformats.org/spreadsheetml/2006/main" count="566" uniqueCount="51">
  <si>
    <t>시가총액</t>
    <phoneticPr fontId="1" type="noConversion"/>
  </si>
  <si>
    <t>가격</t>
    <phoneticPr fontId="1" type="noConversion"/>
  </si>
  <si>
    <t>포트폴리오기대수익률</t>
    <phoneticPr fontId="1" type="noConversion"/>
  </si>
  <si>
    <t xml:space="preserve">SPY       </t>
  </si>
  <si>
    <t xml:space="preserve">GLD       </t>
  </si>
  <si>
    <t xml:space="preserve">UUP       </t>
  </si>
  <si>
    <t xml:space="preserve">IWM       </t>
  </si>
  <si>
    <t>종목코드</t>
    <phoneticPr fontId="1" type="noConversion"/>
  </si>
  <si>
    <t>날짜</t>
    <phoneticPr fontId="1" type="noConversion"/>
  </si>
  <si>
    <t>SPY</t>
    <phoneticPr fontId="1" type="noConversion"/>
  </si>
  <si>
    <t>로그수익률</t>
    <phoneticPr fontId="1" type="noConversion"/>
  </si>
  <si>
    <t>포트폴리오분산</t>
    <phoneticPr fontId="1" type="noConversion"/>
  </si>
  <si>
    <t>비중</t>
    <phoneticPr fontId="1" type="noConversion"/>
  </si>
  <si>
    <t>로그수익률평균</t>
    <phoneticPr fontId="1" type="noConversion"/>
  </si>
  <si>
    <t>분산공분산매트릭스</t>
    <phoneticPr fontId="1" type="noConversion"/>
  </si>
  <si>
    <t>포트폴리오기대샤프비율</t>
    <phoneticPr fontId="1" type="noConversion"/>
  </si>
  <si>
    <t>비중</t>
    <phoneticPr fontId="1" type="noConversion"/>
  </si>
  <si>
    <t>종목명</t>
    <phoneticPr fontId="1" type="noConversion"/>
  </si>
  <si>
    <t>최소분산포트폴리오</t>
    <phoneticPr fontId="1" type="noConversion"/>
  </si>
  <si>
    <t>표준편차</t>
    <phoneticPr fontId="1" type="noConversion"/>
  </si>
  <si>
    <t>기대수익률</t>
    <phoneticPr fontId="1" type="noConversion"/>
  </si>
  <si>
    <t>최소수익률포트폴리오</t>
    <phoneticPr fontId="1" type="noConversion"/>
  </si>
  <si>
    <t>최대수익률포트폴리오</t>
    <phoneticPr fontId="1" type="noConversion"/>
  </si>
  <si>
    <t>최대샤프비율포트폴리오</t>
    <phoneticPr fontId="1" type="noConversion"/>
  </si>
  <si>
    <t>Efficient Frontier</t>
    <phoneticPr fontId="1" type="noConversion"/>
  </si>
  <si>
    <t>Capital Market Line</t>
    <phoneticPr fontId="1" type="noConversion"/>
  </si>
  <si>
    <t>무위험수익률(월)</t>
    <phoneticPr fontId="1" type="noConversion"/>
  </si>
  <si>
    <t>동일비중포트폴리오</t>
    <phoneticPr fontId="1" type="noConversion"/>
  </si>
  <si>
    <t>벤치마크</t>
    <phoneticPr fontId="1" type="noConversion"/>
  </si>
  <si>
    <t>표준편차</t>
    <phoneticPr fontId="1" type="noConversion"/>
  </si>
  <si>
    <t>기대수익률</t>
    <phoneticPr fontId="1" type="noConversion"/>
  </si>
  <si>
    <t>SPY</t>
    <phoneticPr fontId="1" type="noConversion"/>
  </si>
  <si>
    <t>GLD</t>
    <phoneticPr fontId="1" type="noConversion"/>
  </si>
  <si>
    <t>UUP</t>
    <phoneticPr fontId="1" type="noConversion"/>
  </si>
  <si>
    <t>IWM</t>
    <phoneticPr fontId="1" type="noConversion"/>
  </si>
  <si>
    <t>동일비중</t>
    <phoneticPr fontId="1" type="noConversion"/>
  </si>
  <si>
    <t>Rescaler value</t>
    <phoneticPr fontId="1" type="noConversion"/>
  </si>
  <si>
    <t>Sharpe Ratio</t>
    <phoneticPr fontId="1" type="noConversion"/>
  </si>
  <si>
    <t>Modify SharpRatio</t>
    <phoneticPr fontId="1" type="noConversion"/>
  </si>
  <si>
    <t>년환산수익률(CAGR)</t>
    <phoneticPr fontId="1" type="noConversion"/>
  </si>
  <si>
    <t>서버값</t>
  </si>
  <si>
    <t>SPY</t>
  </si>
  <si>
    <t>GLD</t>
  </si>
  <si>
    <t>UUP</t>
  </si>
  <si>
    <t>IWM</t>
  </si>
  <si>
    <t>포트 년환산 표준편차</t>
    <phoneticPr fontId="1" type="noConversion"/>
  </si>
  <si>
    <t>년환산 표준편차</t>
    <phoneticPr fontId="1" type="noConversion"/>
  </si>
  <si>
    <t>기대수익률(APY)</t>
    <phoneticPr fontId="1" type="noConversion"/>
  </si>
  <si>
    <t>GLD</t>
    <phoneticPr fontId="1" type="noConversion"/>
  </si>
  <si>
    <t>UUP</t>
    <phoneticPr fontId="1" type="noConversion"/>
  </si>
  <si>
    <t>IWM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</si>
</sst>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%"/>
    <numFmt numFmtId="177" formatCode="0.0000000000000000%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6337778862885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10" fontId="0" fillId="3" borderId="0" xfId="3" applyNumberFormat="1" applyFont="1" applyFill="1" applyBorder="1" applyAlignment="1">
      <alignment vertical="center"/>
    </xf>
    <xf numFmtId="0" fontId="0" fillId="0" borderId="0" xfId="0" applyBorder="1" applyAlignment="1">
      <alignment vertical="center"/>
    </xf>
    <xf numFmtId="10" fontId="0" fillId="0" borderId="0" xfId="0" applyNumberFormat="1" applyBorder="1" applyAlignment="1">
      <alignment vertical="center"/>
    </xf>
    <xf numFmtId="10" fontId="0" fillId="0" borderId="0" xfId="3" applyNumberFormat="1" applyFont="1" applyAlignment="1">
      <alignment vertical="center"/>
    </xf>
    <xf numFmtId="176" fontId="0" fillId="0" borderId="0" xfId="3" applyNumberFormat="1" applyFont="1" applyAlignment="1">
      <alignment vertical="center"/>
    </xf>
    <xf numFmtId="0" fontId="0" fillId="4" borderId="0" xfId="0" applyFill="1" applyAlignment="1">
      <alignment vertical="center"/>
    </xf>
    <xf numFmtId="14" fontId="0" fillId="4" borderId="0" xfId="0" applyNumberFormat="1" applyFill="1" applyAlignment="1">
      <alignment vertical="center"/>
    </xf>
    <xf numFmtId="0" fontId="0" fillId="5" borderId="0" xfId="0" applyFill="1" applyAlignment="1">
      <alignment vertical="center"/>
    </xf>
    <xf numFmtId="10" fontId="0" fillId="5" borderId="0" xfId="0" applyNumberFormat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11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0" fontId="5" fillId="0" borderId="0" xfId="0" applyFont="1">
      <alignment vertical="center"/>
    </xf>
    <xf numFmtId="0" fontId="4" fillId="0" borderId="7" xfId="0" applyFont="1" applyBorder="1" applyAlignment="1">
      <alignment vertical="center"/>
    </xf>
    <xf numFmtId="10" fontId="4" fillId="7" borderId="0" xfId="3" applyNumberFormat="1" applyFont="1" applyFill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6" fillId="8" borderId="0" xfId="0" applyFont="1" applyFill="1" applyAlignment="1">
      <alignment vertical="center"/>
    </xf>
    <xf numFmtId="10" fontId="0" fillId="0" borderId="0" xfId="0" applyNumberFormat="1" applyFill="1" applyAlignment="1">
      <alignment vertical="center"/>
    </xf>
    <xf numFmtId="177" fontId="0" fillId="0" borderId="0" xfId="0" applyNumberFormat="1" applyFill="1" applyAlignment="1">
      <alignment vertical="center"/>
    </xf>
  </cellXfs>
  <cellStyles count="4">
    <cellStyle name="백분율" xfId="3" builtinId="5"/>
    <cellStyle name="백분율 2" xfId="2"/>
    <cellStyle name="표준" xfId="0" builtinId="0"/>
    <cellStyle name="표준 2" xfId="1"/>
  </cellStyles>
  <dxfs count="0"/>
  <tableStyles count="0" defaultTableStyle="TableStyleMedium2" defaultPivotStyle="PivotStyleLight16"/>
  <colors>
    <mruColors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1295400</xdr:colOff>
      <xdr:row>43</xdr:row>
      <xdr:rowOff>85725</xdr:rowOff>
    </xdr:from>
    <xdr:to>
      <xdr:col>2</xdr:col>
      <xdr:colOff>1295400</xdr:colOff>
      <xdr:row>50</xdr:row>
      <xdr:rowOff>152400</xdr:rowOff>
    </xdr:to>
    <xdr:cxnSp macro="">
      <xdr:nvCxnSpPr>
        <xdr:cNvPr id="3" name="직선 연결선 2"/>
        <xdr:cNvCxnSpPr/>
      </xdr:nvCxnSpPr>
      <xdr:spPr>
        <a:xfrm>
          <a:off x="3676650" y="9115425"/>
          <a:ext cx="0" cy="1533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771525</xdr:colOff>
      <xdr:row>31</xdr:row>
      <xdr:rowOff>0</xdr:rowOff>
    </xdr:from>
    <xdr:ext cx="944361" cy="264560"/>
    <xdr:sp macro="" textlink="">
      <xdr:nvSpPr>
        <xdr:cNvPr id="2" name="TextBox 1"/>
        <xdr:cNvSpPr txBox="1"/>
      </xdr:nvSpPr>
      <xdr:spPr>
        <a:xfrm>
          <a:off x="3152775" y="6515100"/>
          <a:ext cx="9443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>
              <a:solidFill>
                <a:schemeClr val="bg1"/>
              </a:solidFill>
            </a:rPr>
            <a:t>Min Variance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2</xdr:col>
      <xdr:colOff>742950</xdr:colOff>
      <xdr:row>42</xdr:row>
      <xdr:rowOff>66675</xdr:rowOff>
    </xdr:from>
    <xdr:ext cx="944361" cy="264560"/>
    <xdr:sp macro="" textlink="">
      <xdr:nvSpPr>
        <xdr:cNvPr id="7" name="TextBox 6"/>
        <xdr:cNvSpPr txBox="1"/>
      </xdr:nvSpPr>
      <xdr:spPr>
        <a:xfrm>
          <a:off x="3124200" y="8886825"/>
          <a:ext cx="94436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>
              <a:solidFill>
                <a:schemeClr val="bg1"/>
              </a:solidFill>
            </a:rPr>
            <a:t>Min Variance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twoCellAnchor>
    <xdr:from>
      <xdr:col>5</xdr:col>
      <xdr:colOff>733425</xdr:colOff>
      <xdr:row>28</xdr:row>
      <xdr:rowOff>180975</xdr:rowOff>
    </xdr:from>
    <xdr:to>
      <xdr:col>8</xdr:col>
      <xdr:colOff>114300</xdr:colOff>
      <xdr:row>32</xdr:row>
      <xdr:rowOff>57151</xdr:rowOff>
    </xdr:to>
    <xdr:cxnSp macro="">
      <xdr:nvCxnSpPr>
        <xdr:cNvPr id="8" name="직선 화살표 연결선 7"/>
        <xdr:cNvCxnSpPr/>
      </xdr:nvCxnSpPr>
      <xdr:spPr>
        <a:xfrm flipH="1">
          <a:off x="7829550" y="6067425"/>
          <a:ext cx="2952750" cy="7143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647701</xdr:colOff>
      <xdr:row>28</xdr:row>
      <xdr:rowOff>133350</xdr:rowOff>
    </xdr:from>
    <xdr:to>
      <xdr:col>9</xdr:col>
      <xdr:colOff>228600</xdr:colOff>
      <xdr:row>39</xdr:row>
      <xdr:rowOff>200025</xdr:rowOff>
    </xdr:to>
    <xdr:cxnSp macro="">
      <xdr:nvCxnSpPr>
        <xdr:cNvPr id="10" name="직선 화살표 연결선 9"/>
        <xdr:cNvCxnSpPr/>
      </xdr:nvCxnSpPr>
      <xdr:spPr>
        <a:xfrm flipH="1">
          <a:off x="7743826" y="6019800"/>
          <a:ext cx="4724399" cy="2371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1295400</xdr:colOff>
      <xdr:row>43</xdr:row>
      <xdr:rowOff>85725</xdr:rowOff>
    </xdr:from>
    <xdr:to>
      <xdr:col>1</xdr:col>
      <xdr:colOff>1295400</xdr:colOff>
      <xdr:row>50</xdr:row>
      <xdr:rowOff>152400</xdr:rowOff>
    </xdr:to>
    <xdr:cxnSp macro="">
      <xdr:nvCxnSpPr>
        <xdr:cNvPr id="2" name="직선 연결선 1"/>
        <xdr:cNvCxnSpPr/>
      </xdr:nvCxnSpPr>
      <xdr:spPr>
        <a:xfrm>
          <a:off x="3676650" y="9115425"/>
          <a:ext cx="0" cy="1533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U201"/>
  <sheetViews>
    <sheetView tabSelected="1" zoomScaleNormal="100" workbookViewId="0">
      <selection activeCell="H10" sqref="H10"/>
    </sheetView>
  </sheetViews>
  <sheetFormatPr defaultColWidth="20.625" defaultRowHeight="16.5"/>
  <cols>
    <col min="1" max="1" width="10.625" style="2" customWidth="1"/>
    <col min="2" max="6" width="20.625" style="2"/>
    <col min="7" max="7" width="5.625" style="2" customWidth="1"/>
    <col min="8" max="11" width="20.625" style="2"/>
    <col min="12" max="12" width="20.625" style="2" customWidth="1"/>
    <col min="13" max="18" width="20.625" style="2"/>
    <col min="19" max="19" width="21.625" style="2" bestFit="1" customWidth="1"/>
    <col min="20" max="16384" width="20.625" style="2"/>
  </cols>
  <sheetData>
    <row r="1" spans="1:12">
      <c r="A1" s="12" t="s">
        <v>10</v>
      </c>
      <c r="B1" s="12" t="s">
        <v>8</v>
      </c>
      <c r="C1" s="12" t="s">
        <v>9</v>
      </c>
      <c r="D1" s="12" t="s">
        <v>4</v>
      </c>
      <c r="E1" s="12" t="s">
        <v>5</v>
      </c>
      <c r="F1" s="12" t="s">
        <v>6</v>
      </c>
      <c r="H1" s="16" t="s">
        <v>14</v>
      </c>
      <c r="I1" s="16" t="s">
        <v>9</v>
      </c>
      <c r="J1" s="16" t="s">
        <v>4</v>
      </c>
      <c r="K1" s="16" t="s">
        <v>5</v>
      </c>
      <c r="L1" s="16" t="s">
        <v>6</v>
      </c>
    </row>
    <row r="2" spans="1:12">
      <c r="A2" s="12">
        <v>1</v>
      </c>
      <c r="B2" s="13">
        <v>39171</v>
      </c>
      <c r="C2" s="12">
        <f>LN('기초 데이터'!C3/'기초 데이터'!C2)</f>
        <v>7.5637443978409432E-3</v>
      </c>
      <c r="D2" s="12">
        <f>LN('기초 데이터'!F3/'기초 데이터'!F2)</f>
        <v>-1.1193582311119527E-2</v>
      </c>
      <c r="E2" s="12">
        <f>LN('기초 데이터'!I3/'기초 데이터'!I2)</f>
        <v>-6.0325942047913745E-3</v>
      </c>
      <c r="F2" s="12">
        <f>LN('기초 데이터'!L3/'기초 데이터'!L2)</f>
        <v>8.5891648415754064E-3</v>
      </c>
      <c r="H2" s="16" t="s">
        <v>9</v>
      </c>
      <c r="I2" s="16">
        <f t="array" ref="I2:L5">MMULT(TRANSPOSE(C2:F121-C123:F123),C2:F121-C123:F123)/(COUNT(C2:C121)-1)</f>
        <v>2.0207106843752837E-3</v>
      </c>
      <c r="J2" s="16">
        <v>1.1110104912121883E-4</v>
      </c>
      <c r="K2" s="16">
        <v>-5.4156152894451533E-4</v>
      </c>
      <c r="L2" s="16">
        <v>2.3955238409398036E-3</v>
      </c>
    </row>
    <row r="3" spans="1:12">
      <c r="A3" s="12">
        <v>2</v>
      </c>
      <c r="B3" s="13">
        <v>39202</v>
      </c>
      <c r="C3" s="12">
        <f>LN('기초 데이터'!C4/'기초 데이터'!C3)</f>
        <v>4.3342758385716926E-2</v>
      </c>
      <c r="D3" s="12">
        <f>LN('기초 데이터'!F4/'기초 데이터'!F3)</f>
        <v>2.0327433338723361E-2</v>
      </c>
      <c r="E3" s="12">
        <f>LN('기초 데이터'!I4/'기초 데이터'!I3)</f>
        <v>-1.2175475083022778E-2</v>
      </c>
      <c r="F3" s="12">
        <f>LN('기초 데이터'!L4/'기초 데이터'!L3)</f>
        <v>1.535131551140248E-2</v>
      </c>
      <c r="H3" s="16" t="s">
        <v>4</v>
      </c>
      <c r="I3" s="16">
        <v>1.1110104912121883E-4</v>
      </c>
      <c r="J3" s="16">
        <v>3.1533137351792699E-3</v>
      </c>
      <c r="K3" s="16">
        <v>-6.0903736359091149E-4</v>
      </c>
      <c r="L3" s="16">
        <v>8.9939201619626844E-5</v>
      </c>
    </row>
    <row r="4" spans="1:12">
      <c r="A4" s="12">
        <v>3</v>
      </c>
      <c r="B4" s="13">
        <v>39233</v>
      </c>
      <c r="C4" s="12">
        <f>LN('기초 데이터'!C5/'기초 데이터'!C4)</f>
        <v>3.335742452537676E-2</v>
      </c>
      <c r="D4" s="12">
        <f>LN('기초 데이터'!F5/'기초 데이터'!F4)</f>
        <v>-2.3374358304128109E-2</v>
      </c>
      <c r="E4" s="12">
        <f>LN('기초 데이터'!I5/'기초 데이터'!I4)</f>
        <v>1.7405822955176065E-2</v>
      </c>
      <c r="F4" s="12">
        <f>LN('기초 데이터'!L5/'기초 데이터'!L4)</f>
        <v>4.1960805823486401E-2</v>
      </c>
      <c r="H4" s="16" t="s">
        <v>5</v>
      </c>
      <c r="I4" s="16">
        <v>-5.4156152894451533E-4</v>
      </c>
      <c r="J4" s="16">
        <v>-6.0903736359091149E-4</v>
      </c>
      <c r="K4" s="16">
        <v>6.4956253024270468E-4</v>
      </c>
      <c r="L4" s="16">
        <v>-5.9082517989983061E-4</v>
      </c>
    </row>
    <row r="5" spans="1:12">
      <c r="A5" s="12">
        <v>4</v>
      </c>
      <c r="B5" s="13">
        <v>39262</v>
      </c>
      <c r="C5" s="12">
        <f>LN('기초 데이터'!C6/'기초 데이터'!C5)</f>
        <v>-1.9029380802621891E-2</v>
      </c>
      <c r="D5" s="12">
        <f>LN('기초 데이터'!F6/'기초 데이터'!F5)</f>
        <v>-1.9567683887473909E-2</v>
      </c>
      <c r="E5" s="12">
        <f>LN('기초 데이터'!I6/'기초 데이터'!I5)</f>
        <v>-1.606426048273799E-3</v>
      </c>
      <c r="F5" s="12">
        <f>LN('기초 데이터'!L6/'기초 데이터'!L5)</f>
        <v>-1.4836357327009272E-2</v>
      </c>
      <c r="H5" s="16" t="s">
        <v>6</v>
      </c>
      <c r="I5" s="16">
        <v>2.3955238409398036E-3</v>
      </c>
      <c r="J5" s="16">
        <v>8.9939201619626844E-5</v>
      </c>
      <c r="K5" s="16">
        <v>-5.9082517989983061E-4</v>
      </c>
      <c r="L5" s="16">
        <v>3.3968558146462236E-3</v>
      </c>
    </row>
    <row r="6" spans="1:12">
      <c r="A6" s="12">
        <v>5</v>
      </c>
      <c r="B6" s="13">
        <v>39294</v>
      </c>
      <c r="C6" s="12">
        <f>LN('기초 데이터'!C7/'기초 데이터'!C6)</f>
        <v>-3.1810887569369353E-2</v>
      </c>
      <c r="D6" s="12">
        <f>LN('기초 데이터'!F7/'기초 데이터'!F6)</f>
        <v>2.3374891714711812E-2</v>
      </c>
      <c r="E6" s="12">
        <f>LN('기초 데이터'!I7/'기초 데이터'!I6)</f>
        <v>-9.2873673822796276E-3</v>
      </c>
      <c r="F6" s="12">
        <f>LN('기초 데이터'!L7/'기초 데이터'!L6)</f>
        <v>-7.3255283351988026E-2</v>
      </c>
    </row>
    <row r="7" spans="1:12" ht="17.25" thickBot="1">
      <c r="A7" s="12">
        <v>6</v>
      </c>
      <c r="B7" s="13">
        <v>39325</v>
      </c>
      <c r="C7" s="12">
        <f>LN('기초 데이터'!C8/'기초 데이터'!C7)</f>
        <v>1.2751187053321613E-2</v>
      </c>
      <c r="D7" s="12">
        <f>LN('기초 데이터'!F8/'기초 데이터'!F7)</f>
        <v>1.1034803226820303E-2</v>
      </c>
      <c r="E7" s="12">
        <f>LN('기초 데이터'!I8/'기초 데이터'!I7)</f>
        <v>5.6634455583999942E-3</v>
      </c>
      <c r="F7" s="12">
        <f>LN('기초 데이터'!L8/'기초 데이터'!L7)</f>
        <v>2.104800494630758E-2</v>
      </c>
    </row>
    <row r="8" spans="1:12">
      <c r="A8" s="12">
        <v>7</v>
      </c>
      <c r="B8" s="13">
        <v>39353</v>
      </c>
      <c r="C8" s="12">
        <f>LN('기초 데이터'!C9/'기초 데이터'!C8)</f>
        <v>3.3250889468398701E-2</v>
      </c>
      <c r="D8" s="12">
        <f>LN('기초 데이터'!F9/'기초 데이터'!F8)</f>
        <v>9.9918797061269382E-2</v>
      </c>
      <c r="E8" s="12">
        <f>LN('기초 데이터'!I9/'기초 데이터'!I8)</f>
        <v>-3.0305349495328922E-2</v>
      </c>
      <c r="F8" s="12">
        <f>LN('기초 데이터'!L9/'기초 데이터'!L8)</f>
        <v>1.6375224199941418E-2</v>
      </c>
      <c r="H8" s="21"/>
      <c r="I8" s="6"/>
      <c r="J8" s="6" t="s">
        <v>26</v>
      </c>
      <c r="K8" s="3">
        <f>0.0125/12</f>
        <v>1.0416666666666667E-3</v>
      </c>
      <c r="L8" s="10"/>
    </row>
    <row r="9" spans="1:12">
      <c r="A9" s="12">
        <v>8</v>
      </c>
      <c r="B9" s="13">
        <v>39386</v>
      </c>
      <c r="C9" s="12">
        <f>LN('기초 데이터'!C10/'기초 데이터'!C9)</f>
        <v>1.3475450468995355E-2</v>
      </c>
      <c r="D9" s="12">
        <f>LN('기초 데이터'!F10/'기초 데이터'!F9)</f>
        <v>6.7204668607718065E-2</v>
      </c>
      <c r="E9" s="12">
        <f>LN('기초 데이터'!I10/'기초 데이터'!I9)</f>
        <v>-1.2552466071119973E-2</v>
      </c>
      <c r="F9" s="12">
        <f>LN('기초 데이터'!L10/'기초 데이터'!L9)</f>
        <v>2.8087581810261421E-2</v>
      </c>
      <c r="H9" s="4" t="s">
        <v>17</v>
      </c>
      <c r="I9" s="24" t="s">
        <v>47</v>
      </c>
      <c r="J9" s="8" t="s">
        <v>16</v>
      </c>
      <c r="K9" s="5" t="s">
        <v>46</v>
      </c>
      <c r="L9" s="34"/>
    </row>
    <row r="10" spans="1:12">
      <c r="A10" s="12">
        <v>9</v>
      </c>
      <c r="B10" s="13">
        <v>39416</v>
      </c>
      <c r="C10" s="12">
        <f>LN('기초 데이터'!C11/'기초 데이터'!C10)</f>
        <v>-3.9502679833931242E-2</v>
      </c>
      <c r="D10" s="12">
        <f>LN('기초 데이터'!F11/'기초 데이터'!F10)</f>
        <v>-1.6673465653584282E-2</v>
      </c>
      <c r="E10" s="12">
        <f>LN('기초 데이터'!I11/'기초 데이터'!I10)</f>
        <v>2.943033446503786E-3</v>
      </c>
      <c r="F10" s="12">
        <f>LN('기초 데이터'!L11/'기초 데이터'!L10)</f>
        <v>-7.2278145476645614E-2</v>
      </c>
      <c r="H10" s="4" t="s">
        <v>9</v>
      </c>
      <c r="I10" s="31">
        <f>(1+C123)^12-1</f>
        <v>5.300134725403538E-2</v>
      </c>
      <c r="J10" s="7">
        <v>0</v>
      </c>
      <c r="K10" s="32">
        <f>STDEV(C2:C121)*SQRT(12)</f>
        <v>0.15571938932741614</v>
      </c>
    </row>
    <row r="11" spans="1:12">
      <c r="A11" s="12">
        <v>10</v>
      </c>
      <c r="B11" s="13">
        <v>39444</v>
      </c>
      <c r="C11" s="12">
        <f>LN('기초 데이터'!C12/'기초 데이터'!C11)</f>
        <v>-9.1904958285627166E-3</v>
      </c>
      <c r="D11" s="12">
        <f>LN('기초 데이터'!F12/'기초 데이터'!F11)</f>
        <v>7.0887953456467839E-2</v>
      </c>
      <c r="E11" s="12">
        <f>LN('기초 데이터'!I12/'기초 데이터'!I11)</f>
        <v>-1.1399743464727313E-2</v>
      </c>
      <c r="F11" s="12">
        <f>LN('기초 데이터'!L12/'기초 데이터'!L11)</f>
        <v>-2.611989044496066E-4</v>
      </c>
      <c r="H11" s="4" t="s">
        <v>4</v>
      </c>
      <c r="I11" s="31">
        <f>(1+D123)^12-1</f>
        <v>6.000497712191577E-2</v>
      </c>
      <c r="J11" s="7">
        <v>0</v>
      </c>
      <c r="K11" s="32">
        <f>STDEV(D2:D121)*SQRT(12)</f>
        <v>0.19452445815925368</v>
      </c>
    </row>
    <row r="12" spans="1:12">
      <c r="A12" s="12">
        <v>11</v>
      </c>
      <c r="B12" s="13">
        <v>39478</v>
      </c>
      <c r="C12" s="12">
        <f>LN('기초 데이터'!C13/'기초 데이터'!C12)</f>
        <v>-6.9793308131470819E-2</v>
      </c>
      <c r="D12" s="12">
        <f>LN('기초 데이터'!F13/'기초 데이터'!F12)</f>
        <v>9.640487066350642E-2</v>
      </c>
      <c r="E12" s="12">
        <f>LN('기초 데이터'!I13/'기초 데이터'!I12)</f>
        <v>-4.6818557536148879E-3</v>
      </c>
      <c r="F12" s="12">
        <f>LN('기초 데이터'!L13/'기초 데이터'!L12)</f>
        <v>-7.6240297799223061E-2</v>
      </c>
      <c r="H12" s="4" t="s">
        <v>5</v>
      </c>
      <c r="I12" s="31">
        <f>(1+E123)^12-1</f>
        <v>4.5941897953438726E-3</v>
      </c>
      <c r="J12" s="7">
        <v>0</v>
      </c>
      <c r="K12" s="32">
        <f>STDEV(E2:E121)*SQRT(12)</f>
        <v>8.8287883443383466E-2</v>
      </c>
    </row>
    <row r="13" spans="1:12">
      <c r="A13" s="12">
        <v>12</v>
      </c>
      <c r="B13" s="13">
        <v>39507</v>
      </c>
      <c r="C13" s="12">
        <f>LN('기초 데이터'!C14/'기초 데이터'!C13)</f>
        <v>-2.6182401982443034E-2</v>
      </c>
      <c r="D13" s="12">
        <f>LN('기초 데이터'!F14/'기초 데이터'!F13)</f>
        <v>5.0975957389412227E-2</v>
      </c>
      <c r="E13" s="12">
        <f>LN('기초 데이터'!I14/'기초 데이터'!I13)</f>
        <v>-2.1126028202257823E-2</v>
      </c>
      <c r="F13" s="12">
        <f>LN('기초 데이터'!L14/'기초 데이터'!L13)</f>
        <v>-2.9758991435098019E-2</v>
      </c>
      <c r="H13" s="4" t="s">
        <v>6</v>
      </c>
      <c r="I13" s="31">
        <f>(1+F123)^12-1</f>
        <v>5.7333625018702206E-2</v>
      </c>
      <c r="J13" s="7">
        <v>1</v>
      </c>
      <c r="K13" s="32">
        <f>STDEV(F2:F121)*SQRT(12)</f>
        <v>0.20189668094288882</v>
      </c>
    </row>
    <row r="14" spans="1:12">
      <c r="A14" s="12">
        <v>13</v>
      </c>
      <c r="B14" s="13">
        <v>39538</v>
      </c>
      <c r="C14" s="12">
        <f>LN('기초 데이터'!C15/'기초 데이터'!C14)</f>
        <v>-1.3920989325932817E-2</v>
      </c>
      <c r="D14" s="12">
        <f>LN('기초 데이터'!F15/'기초 데이터'!F14)</f>
        <v>-6.1866555100241589E-2</v>
      </c>
      <c r="E14" s="12">
        <f>LN('기초 데이터'!I15/'기초 데이터'!I14)</f>
        <v>-2.4256977645559983E-2</v>
      </c>
      <c r="F14" s="12">
        <f>LN('기초 데이터'!L15/'기초 데이터'!L14)</f>
        <v>-8.3121149373797231E-3</v>
      </c>
      <c r="H14" s="4"/>
      <c r="I14" s="8"/>
      <c r="J14" s="9">
        <f>SUM(J10:J13)</f>
        <v>1</v>
      </c>
      <c r="K14" s="5"/>
    </row>
    <row r="15" spans="1:12">
      <c r="A15" s="12">
        <v>14</v>
      </c>
      <c r="B15" s="13">
        <v>39568</v>
      </c>
      <c r="C15" s="12">
        <f>LN('기초 데이터'!C16/'기초 데이터'!C15)</f>
        <v>4.6561346488380735E-2</v>
      </c>
      <c r="D15" s="12">
        <f>LN('기초 데이터'!F16/'기초 데이터'!F15)</f>
        <v>-4.2477864587659848E-2</v>
      </c>
      <c r="E15" s="12">
        <f>LN('기초 데이터'!I16/'기초 데이터'!I15)</f>
        <v>9.3313274288844405E-3</v>
      </c>
      <c r="F15" s="12">
        <f>LN('기초 데이터'!L16/'기초 데이터'!L15)</f>
        <v>4.4534526372540822E-2</v>
      </c>
      <c r="H15" s="4" t="s">
        <v>35</v>
      </c>
      <c r="I15" s="8">
        <f>AVERAGE(I10:I13)</f>
        <v>4.3733534797499307E-2</v>
      </c>
      <c r="J15" s="8"/>
      <c r="K15" s="5"/>
    </row>
    <row r="16" spans="1:12">
      <c r="A16" s="12">
        <v>15</v>
      </c>
      <c r="B16" s="13">
        <v>39598</v>
      </c>
      <c r="C16" s="12">
        <f>LN('기초 데이터'!C17/'기초 데이터'!C16)</f>
        <v>1.5003332290772492E-2</v>
      </c>
      <c r="D16" s="12">
        <f>LN('기초 데이터'!F17/'기초 데이터'!F16)</f>
        <v>9.1901853029959599E-3</v>
      </c>
      <c r="E16" s="12">
        <f>LN('기초 데이터'!I17/'기초 데이터'!I16)</f>
        <v>4.4130698275886412E-3</v>
      </c>
      <c r="F16" s="12">
        <f>LN('기초 데이터'!L17/'기초 데이터'!L16)</f>
        <v>4.4780535702071467E-2</v>
      </c>
      <c r="H16" s="4"/>
      <c r="I16" s="22" t="s">
        <v>2</v>
      </c>
      <c r="J16" s="8">
        <f t="array" ref="J16">MMULT(TRANSPOSE(J10:J13),I10:I13)</f>
        <v>5.7333625018702206E-2</v>
      </c>
      <c r="K16" s="5"/>
    </row>
    <row r="17" spans="1:21">
      <c r="A17" s="12">
        <v>16</v>
      </c>
      <c r="B17" s="13">
        <v>39629</v>
      </c>
      <c r="C17" s="12">
        <f>LN('기초 데이터'!C18/'기초 데이터'!C17)</f>
        <v>-9.2265301096577254E-2</v>
      </c>
      <c r="D17" s="12">
        <f>LN('기초 데이터'!F18/'기초 데이터'!F17)</f>
        <v>4.417827699549326E-2</v>
      </c>
      <c r="E17" s="12">
        <f>LN('기초 데이터'!I18/'기초 데이터'!I17)</f>
        <v>-9.7345901462429392E-3</v>
      </c>
      <c r="F17" s="12">
        <f>LN('기초 데이터'!L18/'기초 데이터'!L17)</f>
        <v>-7.824752519230925E-2</v>
      </c>
      <c r="H17" s="4"/>
      <c r="I17" s="22" t="s">
        <v>11</v>
      </c>
      <c r="J17" s="8">
        <v>0</v>
      </c>
      <c r="K17" s="5"/>
    </row>
    <row r="18" spans="1:21">
      <c r="A18" s="12">
        <v>17</v>
      </c>
      <c r="B18" s="13">
        <v>39660</v>
      </c>
      <c r="C18" s="12">
        <f>LN('기초 데이터'!C19/'기초 데이터'!C18)</f>
        <v>-9.0263946319760289E-3</v>
      </c>
      <c r="D18" s="12">
        <f>LN('기초 데이터'!F19/'기초 데이터'!F18)</f>
        <v>-1.45473140687241E-2</v>
      </c>
      <c r="E18" s="12">
        <f>LN('기초 데이터'!I19/'기초 데이터'!I18)</f>
        <v>1.0174827881726276E-2</v>
      </c>
      <c r="F18" s="12">
        <f>LN('기초 데이터'!L19/'기초 데이터'!L18)</f>
        <v>3.2345913139638534E-2</v>
      </c>
      <c r="H18" s="4"/>
      <c r="I18" s="22" t="s">
        <v>15</v>
      </c>
      <c r="J18" s="33" t="e">
        <f>J16/(J19)</f>
        <v>#DIV/0!</v>
      </c>
      <c r="K18" s="5"/>
    </row>
    <row r="19" spans="1:21" ht="17.25" thickBot="1">
      <c r="A19" s="12">
        <v>18</v>
      </c>
      <c r="B19" s="13">
        <v>39689</v>
      </c>
      <c r="C19" s="12">
        <f>LN('기초 데이터'!C20/'기초 데이터'!C19)</f>
        <v>1.5335563825240629E-2</v>
      </c>
      <c r="D19" s="12">
        <f>LN('기초 데이터'!F20/'기초 데이터'!F19)</f>
        <v>-9.7521770994764181E-2</v>
      </c>
      <c r="E19" s="12">
        <f>LN('기초 데이터'!I20/'기초 데이터'!I19)</f>
        <v>5.2305106276876658E-2</v>
      </c>
      <c r="F19" s="12">
        <f>LN('기초 데이터'!L20/'기초 데이터'!L19)</f>
        <v>3.5129998545706947E-2</v>
      </c>
      <c r="H19" s="19"/>
      <c r="I19" s="23" t="s">
        <v>45</v>
      </c>
      <c r="J19" s="30">
        <f>SQRT(J17)*SQRT(12)</f>
        <v>0</v>
      </c>
      <c r="K19" s="20"/>
    </row>
    <row r="20" spans="1:21">
      <c r="A20" s="12">
        <v>19</v>
      </c>
      <c r="B20" s="13">
        <v>39721</v>
      </c>
      <c r="C20" s="12">
        <f>LN('기초 데이터'!C21/'기초 데이터'!C20)</f>
        <v>-0.10467919041079402</v>
      </c>
      <c r="D20" s="12">
        <f>LN('기초 데이터'!F21/'기초 데이터'!F20)</f>
        <v>4.0298053591176837E-2</v>
      </c>
      <c r="E20" s="12">
        <f>LN('기초 데이터'!I21/'기초 데이터'!I20)</f>
        <v>2.0670434173567537E-2</v>
      </c>
      <c r="F20" s="12">
        <f>LN('기초 데이터'!L21/'기초 데이터'!L20)</f>
        <v>-8.2799086364539795E-2</v>
      </c>
      <c r="H20" s="11"/>
    </row>
    <row r="21" spans="1:21">
      <c r="A21" s="12">
        <v>20</v>
      </c>
      <c r="B21" s="13">
        <v>39752</v>
      </c>
      <c r="C21" s="12">
        <f>LN('기초 데이터'!C22/'기초 데이터'!C21)</f>
        <v>-0.18054711687034514</v>
      </c>
      <c r="D21" s="12">
        <f>LN('기초 데이터'!F22/'기초 데이터'!F21)</f>
        <v>-0.17601726705704743</v>
      </c>
      <c r="E21" s="12">
        <f>LN('기초 데이터'!I22/'기초 데이터'!I21)</f>
        <v>8.0923598688781823E-2</v>
      </c>
      <c r="F21" s="12">
        <f>LN('기초 데이터'!L22/'기초 데이터'!L21)</f>
        <v>-0.23516403816833456</v>
      </c>
      <c r="H21" s="8"/>
      <c r="I21" s="8" t="s">
        <v>19</v>
      </c>
      <c r="J21" s="8" t="s">
        <v>20</v>
      </c>
      <c r="K21" s="8" t="s">
        <v>31</v>
      </c>
      <c r="L21" s="8" t="s">
        <v>32</v>
      </c>
      <c r="M21" s="8" t="s">
        <v>33</v>
      </c>
      <c r="N21" s="2" t="s">
        <v>34</v>
      </c>
    </row>
    <row r="22" spans="1:21">
      <c r="A22" s="12">
        <v>21</v>
      </c>
      <c r="B22" s="13">
        <v>39780</v>
      </c>
      <c r="C22" s="12">
        <f>LN('기초 데이터'!C23/'기초 데이터'!C22)</f>
        <v>-7.2147692960091089E-2</v>
      </c>
      <c r="D22" s="12">
        <f>LN('기초 데이터'!F23/'기초 데이터'!F22)</f>
        <v>0.11843696626962541</v>
      </c>
      <c r="E22" s="12">
        <f>LN('기초 데이터'!I23/'기초 데이터'!I22)</f>
        <v>1.8850146957714257E-3</v>
      </c>
      <c r="F22" s="12">
        <f>LN('기초 데이터'!L23/'기초 데이터'!L22)</f>
        <v>-0.12698806292193421</v>
      </c>
      <c r="H22" s="8" t="s">
        <v>21</v>
      </c>
      <c r="I22" s="8">
        <v>8.8287883443383397E-2</v>
      </c>
      <c r="J22" s="8">
        <v>4.5941897953438718E-3</v>
      </c>
      <c r="K22" s="9">
        <v>0</v>
      </c>
      <c r="L22" s="9">
        <v>0</v>
      </c>
      <c r="M22" s="9">
        <v>0.99999999999999978</v>
      </c>
      <c r="N22" s="26">
        <v>0</v>
      </c>
    </row>
    <row r="23" spans="1:21">
      <c r="A23" s="12">
        <v>22</v>
      </c>
      <c r="B23" s="13">
        <v>39812</v>
      </c>
      <c r="C23" s="12">
        <f>LN('기초 데이터'!C24/'기초 데이터'!C23)</f>
        <v>-1.2509936406672712E-2</v>
      </c>
      <c r="D23" s="12">
        <f>LN('기초 데이터'!F24/'기초 데이터'!F23)</f>
        <v>6.7289682789838878E-2</v>
      </c>
      <c r="E23" s="12">
        <f>LN('기초 데이터'!I24/'기초 데이터'!I23)</f>
        <v>-7.7096643550059143E-2</v>
      </c>
      <c r="F23" s="12">
        <f>LN('기초 데이터'!L24/'기초 데이터'!L23)</f>
        <v>1.6342287020640209E-2</v>
      </c>
      <c r="H23" s="8" t="s">
        <v>18</v>
      </c>
      <c r="I23" s="8">
        <v>4.4701561867206828E-2</v>
      </c>
      <c r="J23" s="8">
        <v>2.4911518015217956E-2</v>
      </c>
      <c r="K23" s="9">
        <v>0.23531446574424844</v>
      </c>
      <c r="L23" s="9">
        <v>0.16109541580189332</v>
      </c>
      <c r="M23" s="9">
        <v>0.60359011845385824</v>
      </c>
      <c r="N23" s="26">
        <v>0</v>
      </c>
    </row>
    <row r="24" spans="1:21">
      <c r="A24" s="12">
        <v>23</v>
      </c>
      <c r="B24" s="13">
        <v>39843</v>
      </c>
      <c r="C24" s="12">
        <f>LN('기초 데이터'!C25/'기초 데이터'!C24)</f>
        <v>-7.1508919646503202E-2</v>
      </c>
      <c r="D24" s="12">
        <f>LN('기초 데이터'!F25/'기초 데이터'!F24)</f>
        <v>6.1076481638039061E-2</v>
      </c>
      <c r="E24" s="12">
        <f>LN('기초 데이터'!I25/'기초 데이터'!I24)</f>
        <v>5.4238505474008915E-2</v>
      </c>
      <c r="F24" s="12">
        <f>LN('기초 데이터'!L25/'기초 데이터'!L24)</f>
        <v>-7.8658241164151224E-2</v>
      </c>
      <c r="H24" s="8" t="s">
        <v>22</v>
      </c>
      <c r="I24" s="8">
        <v>0.19452445815925365</v>
      </c>
      <c r="J24" s="8">
        <v>6.0004977121915763E-2</v>
      </c>
      <c r="K24" s="9">
        <v>0</v>
      </c>
      <c r="L24" s="9">
        <v>0.99999999999999989</v>
      </c>
      <c r="M24" s="9">
        <v>0</v>
      </c>
      <c r="N24" s="26">
        <v>0</v>
      </c>
    </row>
    <row r="25" spans="1:21">
      <c r="A25" s="12">
        <v>24</v>
      </c>
      <c r="B25" s="13">
        <v>39871</v>
      </c>
      <c r="C25" s="12">
        <f>LN('기초 데이터'!C26/'기초 데이터'!C25)</f>
        <v>-0.11367161504116396</v>
      </c>
      <c r="D25" s="12">
        <f>LN('기초 데이터'!F26/'기초 데이터'!F25)</f>
        <v>1.435275263768725E-2</v>
      </c>
      <c r="E25" s="12">
        <f>LN('기초 데이터'!I26/'기초 데이터'!I25)</f>
        <v>2.0218121456909825E-2</v>
      </c>
      <c r="F25" s="12">
        <f>LN('기초 데이터'!L26/'기초 데이터'!L25)</f>
        <v>-0.12763922750551476</v>
      </c>
      <c r="H25" s="8" t="s">
        <v>23</v>
      </c>
      <c r="I25" s="8">
        <v>4.9581375979000822E-2</v>
      </c>
      <c r="J25" s="8">
        <v>3.0647283052820988E-2</v>
      </c>
      <c r="K25" s="18">
        <v>0.2956553812189357</v>
      </c>
      <c r="L25" s="18">
        <v>0.21189478135554635</v>
      </c>
      <c r="M25" s="9">
        <v>0.49244983742551796</v>
      </c>
      <c r="N25" s="26">
        <v>0</v>
      </c>
    </row>
    <row r="26" spans="1:21">
      <c r="A26" s="12">
        <v>25</v>
      </c>
      <c r="B26" s="13">
        <v>39903</v>
      </c>
      <c r="C26" s="12">
        <f>LN('기초 데이터'!C27/'기초 데이터'!C26)</f>
        <v>7.2889862779309755E-2</v>
      </c>
      <c r="D26" s="12">
        <f>LN('기초 데이터'!F27/'기초 데이터'!F26)</f>
        <v>-2.5697111316601177E-2</v>
      </c>
      <c r="E26" s="12">
        <f>LN('기초 데이터'!I27/'기초 데이터'!I26)</f>
        <v>-3.2236099016338185E-2</v>
      </c>
      <c r="F26" s="12">
        <f>LN('기초 데이터'!L27/'기초 데이터'!L26)</f>
        <v>7.1458963982144852E-2</v>
      </c>
      <c r="H26" s="8" t="s">
        <v>27</v>
      </c>
      <c r="I26" s="8">
        <v>9.0543040053892035E-2</v>
      </c>
      <c r="J26" s="8">
        <v>4.3733534797499307E-2</v>
      </c>
      <c r="K26" s="18">
        <v>0.25</v>
      </c>
      <c r="L26" s="18">
        <v>0.25</v>
      </c>
      <c r="M26" s="9">
        <v>0.25</v>
      </c>
      <c r="N26" s="26">
        <v>0.25</v>
      </c>
    </row>
    <row r="27" spans="1:21">
      <c r="A27" s="12">
        <v>26</v>
      </c>
      <c r="B27" s="13">
        <v>39933</v>
      </c>
      <c r="C27" s="12">
        <f>LN('기초 데이터'!C28/'기초 데이터'!C27)</f>
        <v>9.4715527086849938E-2</v>
      </c>
      <c r="D27" s="12">
        <f>LN('기초 데이터'!F28/'기초 데이터'!F27)</f>
        <v>-3.3909190774115076E-2</v>
      </c>
      <c r="E27" s="12">
        <f>LN('기초 데이터'!I28/'기초 데이터'!I27)</f>
        <v>-1.1769457159476372E-2</v>
      </c>
      <c r="F27" s="12">
        <f>LN('기초 데이터'!L28/'기초 데이터'!L27)</f>
        <v>0.14311669765689244</v>
      </c>
      <c r="H27" s="8" t="s">
        <v>28</v>
      </c>
      <c r="I27" s="8"/>
      <c r="J27" s="8"/>
      <c r="K27" s="17"/>
      <c r="L27" s="18"/>
      <c r="M27" s="8"/>
    </row>
    <row r="28" spans="1:21">
      <c r="A28" s="12">
        <v>27</v>
      </c>
      <c r="B28" s="13">
        <v>39962</v>
      </c>
      <c r="C28" s="12">
        <f>LN('기초 데이터'!C29/'기초 데이터'!C28)</f>
        <v>5.6808826825770403E-2</v>
      </c>
      <c r="D28" s="12">
        <f>LN('기초 데이터'!F29/'기초 데이터'!F28)</f>
        <v>9.7422596496441013E-2</v>
      </c>
      <c r="E28" s="12">
        <f>LN('기초 데이터'!I29/'기초 데이터'!I28)</f>
        <v>-6.5644104445320803E-2</v>
      </c>
      <c r="F28" s="12">
        <f>LN('기초 데이터'!L29/'기초 데이터'!L28)</f>
        <v>3.3441154420312112E-2</v>
      </c>
      <c r="K28" s="17"/>
      <c r="L28" s="17"/>
    </row>
    <row r="29" spans="1:21">
      <c r="A29" s="12">
        <v>28</v>
      </c>
      <c r="B29" s="13">
        <v>39994</v>
      </c>
      <c r="C29" s="12">
        <f>LN('기초 데이터'!C30/'기초 데이터'!C29)</f>
        <v>-6.2879652106087201E-3</v>
      </c>
      <c r="D29" s="12">
        <f>LN('기초 데이터'!F30/'기초 데이터'!F29)</f>
        <v>-5.359378288636537E-2</v>
      </c>
      <c r="E29" s="12">
        <f>LN('기초 데이터'!I30/'기초 데이터'!I29)</f>
        <v>7.1383884897928077E-3</v>
      </c>
      <c r="F29" s="12">
        <f>LN('기초 데이터'!L30/'기초 데이터'!L29)</f>
        <v>1.7975792668176969E-2</v>
      </c>
      <c r="I29" s="2" t="s">
        <v>29</v>
      </c>
      <c r="J29" s="2" t="s">
        <v>30</v>
      </c>
      <c r="K29" s="2" t="s">
        <v>31</v>
      </c>
      <c r="L29" s="2" t="s">
        <v>32</v>
      </c>
      <c r="M29" s="2" t="s">
        <v>33</v>
      </c>
      <c r="N29" s="2" t="s">
        <v>34</v>
      </c>
      <c r="O29" s="2" t="s">
        <v>31</v>
      </c>
      <c r="P29" s="2" t="s">
        <v>32</v>
      </c>
      <c r="Q29" s="2" t="s">
        <v>33</v>
      </c>
      <c r="R29" s="2" t="s">
        <v>34</v>
      </c>
      <c r="S29" s="2" t="s">
        <v>37</v>
      </c>
      <c r="T29" s="2" t="s">
        <v>36</v>
      </c>
      <c r="U29" s="2" t="s">
        <v>38</v>
      </c>
    </row>
    <row r="30" spans="1:21">
      <c r="A30" s="12">
        <v>29</v>
      </c>
      <c r="B30" s="13">
        <v>40025</v>
      </c>
      <c r="C30" s="12">
        <f>LN('기초 데이터'!C31/'기초 데이터'!C30)</f>
        <v>7.1953863156541356E-2</v>
      </c>
      <c r="D30" s="12">
        <f>LN('기초 데이터'!F31/'기초 데이터'!F30)</f>
        <v>2.35202952024362E-2</v>
      </c>
      <c r="E30" s="12">
        <f>LN('기초 데이터'!I31/'기초 데이터'!I30)</f>
        <v>-2.4567097455173294E-2</v>
      </c>
      <c r="F30" s="12">
        <f>LN('기초 데이터'!L31/'기초 데이터'!L30)</f>
        <v>8.4250456127491422E-2</v>
      </c>
      <c r="H30" s="2" t="s">
        <v>24</v>
      </c>
      <c r="I30" s="26">
        <v>8.8287883443383397E-2</v>
      </c>
      <c r="J30" s="26">
        <v>4.5941897953438718E-3</v>
      </c>
      <c r="K30" s="26">
        <v>0</v>
      </c>
      <c r="L30" s="26">
        <v>0</v>
      </c>
      <c r="M30" s="26">
        <v>0.99999999999999978</v>
      </c>
      <c r="N30" s="26">
        <v>0</v>
      </c>
      <c r="O30" s="2">
        <v>0</v>
      </c>
      <c r="P30" s="2">
        <v>0</v>
      </c>
      <c r="Q30" s="2">
        <v>4.5941899999999997E-3</v>
      </c>
      <c r="R30" s="2">
        <v>0</v>
      </c>
      <c r="S30" s="28">
        <f>J30/I30</f>
        <v>5.2036469968044938E-2</v>
      </c>
      <c r="T30" s="2">
        <f>MAX($S$30:$S$180)/$J$25</f>
        <v>20.078217678753912</v>
      </c>
    </row>
    <row r="31" spans="1:21">
      <c r="A31" s="12">
        <v>30</v>
      </c>
      <c r="B31" s="13">
        <v>40056</v>
      </c>
      <c r="C31" s="12">
        <f>LN('기초 데이터'!C32/'기초 데이터'!C31)</f>
        <v>3.6273664304184751E-2</v>
      </c>
      <c r="D31" s="12">
        <f>LN('기초 데이터'!F32/'기초 데이터'!F31)</f>
        <v>5.3547524706532847E-4</v>
      </c>
      <c r="E31" s="12">
        <f>LN('기초 데이터'!I32/'기초 데이터'!I31)</f>
        <v>-2.5762143917732521E-3</v>
      </c>
      <c r="F31" s="12">
        <f>LN('기초 데이터'!L32/'기초 데이터'!L31)</f>
        <v>2.8910411093922426E-2</v>
      </c>
      <c r="I31" s="26">
        <v>7.9570619128148085E-2</v>
      </c>
      <c r="J31" s="26">
        <v>7.3086463105626748E-3</v>
      </c>
      <c r="K31" s="26">
        <v>5.0363330662173855E-2</v>
      </c>
      <c r="L31" s="26">
        <v>4.9901986788447403E-3</v>
      </c>
      <c r="M31" s="26">
        <v>0.94464647065898133</v>
      </c>
      <c r="N31" s="26">
        <v>0</v>
      </c>
      <c r="O31" s="2">
        <v>3.6808799999999998E-4</v>
      </c>
      <c r="P31" s="2">
        <v>3.6471999999999999E-5</v>
      </c>
      <c r="Q31" s="2">
        <v>6.9040869999999997E-3</v>
      </c>
      <c r="R31" s="2">
        <v>0</v>
      </c>
      <c r="S31" s="28">
        <f t="shared" ref="S31:S55" si="0">J31/I31</f>
        <v>9.1851067525214755E-2</v>
      </c>
      <c r="T31" s="2">
        <f t="shared" ref="T31:T55" si="1">MAX($S$30:$S$180)/$J$25</f>
        <v>20.078217678753912</v>
      </c>
    </row>
    <row r="32" spans="1:21">
      <c r="A32" s="12">
        <v>31</v>
      </c>
      <c r="B32" s="13">
        <v>40086</v>
      </c>
      <c r="C32" s="12">
        <f>LN('기초 데이터'!C33/'기초 데이터'!C32)</f>
        <v>3.009119130736683E-2</v>
      </c>
      <c r="D32" s="12">
        <f>LN('기초 데이터'!F33/'기초 데이터'!F32)</f>
        <v>5.6712204381828869E-2</v>
      </c>
      <c r="E32" s="12">
        <f>LN('기초 데이터'!I33/'기초 데이터'!I32)</f>
        <v>-2.0413303832925566E-2</v>
      </c>
      <c r="F32" s="12">
        <f>LN('기초 데이터'!L33/'기초 데이터'!L32)</f>
        <v>5.1782685105885858E-2</v>
      </c>
      <c r="I32" s="26">
        <v>7.0853354812912772E-2</v>
      </c>
      <c r="J32" s="26">
        <v>1.0211224448359035E-2</v>
      </c>
      <c r="K32" s="26">
        <v>8.1449959171433051E-2</v>
      </c>
      <c r="L32" s="26">
        <v>3.021566260251856E-2</v>
      </c>
      <c r="M32" s="26">
        <v>0.88833437822604844</v>
      </c>
      <c r="N32" s="26">
        <v>0</v>
      </c>
      <c r="O32" s="2">
        <v>8.3170399999999995E-4</v>
      </c>
      <c r="P32" s="2">
        <v>3.0853899999999998E-4</v>
      </c>
      <c r="Q32" s="2">
        <v>9.070982E-3</v>
      </c>
      <c r="R32" s="2">
        <v>0</v>
      </c>
      <c r="S32" s="28">
        <f t="shared" si="0"/>
        <v>0.14411772703383802</v>
      </c>
      <c r="T32" s="2">
        <f t="shared" si="1"/>
        <v>20.078217678753912</v>
      </c>
    </row>
    <row r="33" spans="1:20">
      <c r="A33" s="12">
        <v>32</v>
      </c>
      <c r="B33" s="13">
        <v>40116</v>
      </c>
      <c r="C33" s="12">
        <f>LN('기초 데이터'!C34/'기초 데이터'!C33)</f>
        <v>-1.9412514935086111E-2</v>
      </c>
      <c r="D33" s="12">
        <f>LN('기초 데이터'!F34/'기초 데이터'!F33)</f>
        <v>3.6551889065374099E-2</v>
      </c>
      <c r="E33" s="12">
        <f>LN('기초 데이터'!I34/'기초 데이터'!I33)</f>
        <v>-3.9569187702358953E-3</v>
      </c>
      <c r="F33" s="12">
        <f>LN('기초 데이터'!L34/'기초 데이터'!L33)</f>
        <v>-6.71093305850156E-2</v>
      </c>
      <c r="I33" s="26">
        <v>6.213609049767746E-2</v>
      </c>
      <c r="J33" s="26">
        <v>1.3370391675437646E-2</v>
      </c>
      <c r="K33" s="26">
        <v>0.11390157068927206</v>
      </c>
      <c r="L33" s="26">
        <v>5.8879340474221421E-2</v>
      </c>
      <c r="M33" s="26">
        <v>0.82721908883650652</v>
      </c>
      <c r="N33" s="26">
        <v>0</v>
      </c>
      <c r="O33" s="2">
        <v>1.522909E-3</v>
      </c>
      <c r="P33" s="2">
        <v>7.8724000000000003E-4</v>
      </c>
      <c r="Q33" s="2">
        <v>1.1060243000000001E-2</v>
      </c>
      <c r="R33" s="2">
        <v>0</v>
      </c>
      <c r="S33" s="28">
        <f t="shared" si="0"/>
        <v>0.21517915865558693</v>
      </c>
      <c r="T33" s="2">
        <f t="shared" si="1"/>
        <v>20.078217678753912</v>
      </c>
    </row>
    <row r="34" spans="1:20">
      <c r="A34" s="12">
        <v>33</v>
      </c>
      <c r="B34" s="13">
        <v>40147</v>
      </c>
      <c r="C34" s="12">
        <f>LN('기초 데이터'!C35/'기초 데이터'!C34)</f>
        <v>5.9783607549177387E-2</v>
      </c>
      <c r="D34" s="12">
        <f>LN('기초 데이터'!F35/'기초 데이터'!F34)</f>
        <v>0.12032647846614554</v>
      </c>
      <c r="E34" s="12">
        <f>LN('기초 데이터'!I35/'기초 데이터'!I34)</f>
        <v>-2.3624900859136762E-2</v>
      </c>
      <c r="F34" s="12">
        <f>LN('기초 데이터'!L35/'기초 데이터'!L34)</f>
        <v>3.0766279097818591E-2</v>
      </c>
      <c r="I34" s="26">
        <v>5.3418826182442147E-2</v>
      </c>
      <c r="J34" s="26">
        <v>1.709045286647784E-2</v>
      </c>
      <c r="K34" s="26">
        <v>0.15247240723363806</v>
      </c>
      <c r="L34" s="26">
        <v>9.2319699698914182E-2</v>
      </c>
      <c r="M34" s="26">
        <v>0.75520789306744784</v>
      </c>
      <c r="N34" s="26">
        <v>0</v>
      </c>
      <c r="O34" s="2">
        <v>2.6058219999999998E-3</v>
      </c>
      <c r="P34" s="2">
        <v>1.577785E-3</v>
      </c>
      <c r="Q34" s="2">
        <v>1.2906845E-2</v>
      </c>
      <c r="R34" s="2">
        <v>0</v>
      </c>
      <c r="S34" s="28">
        <f t="shared" si="0"/>
        <v>0.31993314132565459</v>
      </c>
      <c r="T34" s="2">
        <f t="shared" si="1"/>
        <v>20.078217678753912</v>
      </c>
    </row>
    <row r="35" spans="1:20">
      <c r="A35" s="12">
        <v>34</v>
      </c>
      <c r="B35" s="13">
        <v>40177</v>
      </c>
      <c r="C35" s="12">
        <f>LN('기초 데이터'!C36/'기초 데이터'!C35)</f>
        <v>2.3196221189141782E-2</v>
      </c>
      <c r="D35" s="12">
        <f>LN('기초 데이터'!F36/'기초 데이터'!F35)</f>
        <v>-7.830750237957998E-2</v>
      </c>
      <c r="E35" s="12">
        <f>LN('기초 데이터'!I36/'기초 데이터'!I35)</f>
        <v>3.8491812199470364E-2</v>
      </c>
      <c r="F35" s="12">
        <f>LN('기초 데이터'!L36/'기초 데이터'!L35)</f>
        <v>8.4152528780922761E-2</v>
      </c>
      <c r="I35" s="26">
        <v>4.4701561867206828E-2</v>
      </c>
      <c r="J35" s="26">
        <v>2.4911518015217956E-2</v>
      </c>
      <c r="K35" s="26">
        <v>0.23531446574424844</v>
      </c>
      <c r="L35" s="26">
        <v>0.16109541580189332</v>
      </c>
      <c r="M35" s="26">
        <v>0.60359011845385824</v>
      </c>
      <c r="N35" s="26">
        <v>0</v>
      </c>
      <c r="O35" s="2">
        <v>5.8620410000000001E-3</v>
      </c>
      <c r="P35" s="2">
        <v>4.0131309999999996E-3</v>
      </c>
      <c r="Q35" s="2">
        <v>1.5036346000000001E-2</v>
      </c>
      <c r="R35" s="2">
        <v>0</v>
      </c>
      <c r="S35" s="28">
        <f t="shared" si="0"/>
        <v>0.55728518142658245</v>
      </c>
      <c r="T35" s="2">
        <f t="shared" si="1"/>
        <v>20.078217678753912</v>
      </c>
    </row>
    <row r="36" spans="1:20">
      <c r="A36" s="12">
        <v>35</v>
      </c>
      <c r="B36" s="13">
        <v>40207</v>
      </c>
      <c r="C36" s="12">
        <f>LN('기초 데이터'!C37/'기초 데이터'!C36)</f>
        <v>-4.66639157515309E-2</v>
      </c>
      <c r="D36" s="12">
        <f>LN('기초 데이터'!F37/'기초 데이터'!F36)</f>
        <v>-9.1127503646963731E-3</v>
      </c>
      <c r="E36" s="12">
        <f>LN('기초 데이터'!I37/'기초 데이터'!I36)</f>
        <v>1.7638659064597832E-2</v>
      </c>
      <c r="F36" s="12">
        <f>LN('기초 데이터'!L37/'기초 데이터'!L36)</f>
        <v>-4.9969843734293223E-2</v>
      </c>
      <c r="I36" s="26">
        <v>5.219270668180917E-2</v>
      </c>
      <c r="J36" s="26">
        <v>3.2116407333733915E-2</v>
      </c>
      <c r="K36" s="26">
        <v>0.31103555228589985</v>
      </c>
      <c r="L36" s="26">
        <v>0.22497190863154343</v>
      </c>
      <c r="M36" s="26">
        <v>0.46399253908255661</v>
      </c>
      <c r="N36" s="26">
        <v>0</v>
      </c>
      <c r="O36" s="2">
        <v>9.9893440000000007E-3</v>
      </c>
      <c r="P36" s="2">
        <v>7.2252890000000002E-3</v>
      </c>
      <c r="Q36" s="2">
        <v>1.4901773E-2</v>
      </c>
      <c r="R36" s="2">
        <v>0</v>
      </c>
      <c r="S36" s="28">
        <f t="shared" si="0"/>
        <v>0.61534282039692556</v>
      </c>
      <c r="T36" s="2">
        <f t="shared" si="1"/>
        <v>20.078217678753912</v>
      </c>
    </row>
    <row r="37" spans="1:20">
      <c r="A37" s="12">
        <v>36</v>
      </c>
      <c r="B37" s="13">
        <v>40235</v>
      </c>
      <c r="C37" s="12">
        <f>LN('기초 데이터'!C38/'기초 데이터'!C37)</f>
        <v>3.0718043524695874E-2</v>
      </c>
      <c r="D37" s="12">
        <f>LN('기초 데이터'!F38/'기초 데이터'!F37)</f>
        <v>3.2223411026482886E-2</v>
      </c>
      <c r="E37" s="12">
        <f>LN('기초 데이터'!I38/'기초 데이터'!I37)</f>
        <v>8.0696976456090825E-3</v>
      </c>
      <c r="F37" s="12">
        <f>LN('기초 데이터'!L38/'기초 데이터'!L37)</f>
        <v>4.3778856423082192E-2</v>
      </c>
      <c r="I37" s="26">
        <v>5.9683851496411512E-2</v>
      </c>
      <c r="J37" s="26">
        <v>3.5486960731293198E-2</v>
      </c>
      <c r="K37" s="26">
        <v>0.34670912973821666</v>
      </c>
      <c r="L37" s="26">
        <v>0.25463575200959859</v>
      </c>
      <c r="M37" s="26">
        <v>0.39865511825218475</v>
      </c>
      <c r="N37" s="26">
        <v>0</v>
      </c>
      <c r="O37" s="2">
        <v>1.2303652999999999E-2</v>
      </c>
      <c r="P37" s="2">
        <v>9.0362489999999997E-3</v>
      </c>
      <c r="Q37" s="2">
        <v>1.4147059E-2</v>
      </c>
      <c r="R37" s="2">
        <v>0</v>
      </c>
      <c r="S37" s="28">
        <f t="shared" si="0"/>
        <v>0.59458228384317402</v>
      </c>
      <c r="T37" s="2">
        <f t="shared" si="1"/>
        <v>20.078217678753912</v>
      </c>
    </row>
    <row r="38" spans="1:20">
      <c r="A38" s="12">
        <v>37</v>
      </c>
      <c r="B38" s="13">
        <v>40268</v>
      </c>
      <c r="C38" s="12">
        <f>LN('기초 데이터'!C39/'기초 데이터'!C38)</f>
        <v>5.4988823402935101E-2</v>
      </c>
      <c r="D38" s="12">
        <f>LN('기초 데이터'!F39/'기초 데이터'!F38)</f>
        <v>-4.3960140397227799E-3</v>
      </c>
      <c r="E38" s="12">
        <f>LN('기초 데이터'!I39/'기초 데이터'!I38)</f>
        <v>6.7453881395316551E-3</v>
      </c>
      <c r="F38" s="12">
        <f>LN('기초 데이터'!L39/'기초 데이터'!L38)</f>
        <v>7.6607121472196976E-2</v>
      </c>
      <c r="I38" s="26">
        <v>6.7174996311013854E-2</v>
      </c>
      <c r="J38" s="26">
        <v>3.8320274172796542E-2</v>
      </c>
      <c r="K38" s="26">
        <v>0.37602573849681153</v>
      </c>
      <c r="L38" s="26">
        <v>0.28015749269226564</v>
      </c>
      <c r="M38" s="26">
        <v>0.34381676881092299</v>
      </c>
      <c r="N38" s="26">
        <v>0</v>
      </c>
      <c r="O38" s="2">
        <v>1.4409409E-2</v>
      </c>
      <c r="P38" s="2">
        <v>1.0735712E-2</v>
      </c>
      <c r="Q38" s="2">
        <v>1.3175153E-2</v>
      </c>
      <c r="R38" s="2">
        <v>0</v>
      </c>
      <c r="S38" s="28">
        <f t="shared" si="0"/>
        <v>0.57045442913576516</v>
      </c>
      <c r="T38" s="2">
        <f t="shared" si="1"/>
        <v>20.078217678753912</v>
      </c>
    </row>
    <row r="39" spans="1:20">
      <c r="A39" s="12">
        <v>38</v>
      </c>
      <c r="B39" s="13">
        <v>40298</v>
      </c>
      <c r="C39" s="12">
        <f>LN('기초 데이터'!C40/'기초 데이터'!C39)</f>
        <v>1.5351643672439991E-2</v>
      </c>
      <c r="D39" s="12">
        <f>LN('기초 데이터'!F40/'기초 데이터'!F39)</f>
        <v>5.7168612146010045E-2</v>
      </c>
      <c r="E39" s="12">
        <f>LN('기초 데이터'!I40/'기초 데이터'!I39)</f>
        <v>6.7001925698195654E-3</v>
      </c>
      <c r="F39" s="12">
        <f>LN('기초 데이터'!L40/'기초 데이터'!L39)</f>
        <v>5.5230959327831071E-2</v>
      </c>
      <c r="I39" s="26">
        <v>7.4666141125616189E-2</v>
      </c>
      <c r="J39" s="26">
        <v>4.090449653763388E-2</v>
      </c>
      <c r="K39" s="26">
        <v>0.40342070673555919</v>
      </c>
      <c r="L39" s="26">
        <v>0.30286263521827905</v>
      </c>
      <c r="M39" s="26">
        <v>0.29371665804616176</v>
      </c>
      <c r="N39" s="26">
        <v>0</v>
      </c>
      <c r="O39" s="2">
        <v>1.6501721E-2</v>
      </c>
      <c r="P39" s="2">
        <v>1.2388444E-2</v>
      </c>
      <c r="Q39" s="2">
        <v>1.2014332000000001E-2</v>
      </c>
      <c r="R39" s="2">
        <v>0</v>
      </c>
      <c r="S39" s="28">
        <f t="shared" si="0"/>
        <v>0.54783193454202117</v>
      </c>
      <c r="T39" s="2">
        <f t="shared" si="1"/>
        <v>20.078217678753912</v>
      </c>
    </row>
    <row r="40" spans="1:20">
      <c r="A40" s="12">
        <v>39</v>
      </c>
      <c r="B40" s="13">
        <v>40326</v>
      </c>
      <c r="C40" s="12">
        <f>LN('기초 데이터'!C41/'기초 데이터'!C40)</f>
        <v>-8.2788949123061631E-2</v>
      </c>
      <c r="D40" s="12">
        <f>LN('기초 데이터'!F41/'기초 데이터'!F40)</f>
        <v>3.0056907432810077E-2</v>
      </c>
      <c r="E40" s="12">
        <f>LN('기초 데이터'!I41/'기초 데이터'!I40)</f>
        <v>5.5998401645744385E-2</v>
      </c>
      <c r="F40" s="12">
        <f>LN('기초 데이터'!L41/'기초 데이터'!L40)</f>
        <v>-7.8357689407849346E-2</v>
      </c>
      <c r="I40" s="26">
        <v>8.2157285940218525E-2</v>
      </c>
      <c r="J40" s="26">
        <v>4.3344591858423487E-2</v>
      </c>
      <c r="K40" s="26">
        <v>0.42897359889173936</v>
      </c>
      <c r="L40" s="26">
        <v>0.32457596045167586</v>
      </c>
      <c r="M40" s="26">
        <v>0.24645044065658461</v>
      </c>
      <c r="N40" s="26">
        <v>0</v>
      </c>
      <c r="O40" s="2">
        <v>1.8593686000000002E-2</v>
      </c>
      <c r="P40" s="2">
        <v>1.4068613000000001E-2</v>
      </c>
      <c r="Q40" s="2">
        <v>1.0682294E-2</v>
      </c>
      <c r="R40" s="2">
        <v>0</v>
      </c>
      <c r="S40" s="28">
        <f t="shared" si="0"/>
        <v>0.52758062005557282</v>
      </c>
      <c r="T40" s="2">
        <f t="shared" si="1"/>
        <v>20.078217678753912</v>
      </c>
    </row>
    <row r="41" spans="1:20">
      <c r="A41" s="12">
        <v>40</v>
      </c>
      <c r="B41" s="13">
        <v>40359</v>
      </c>
      <c r="C41" s="12">
        <f>LN('기초 데이터'!C42/'기초 데이터'!C41)</f>
        <v>-5.7873996626553313E-2</v>
      </c>
      <c r="D41" s="12">
        <f>LN('기초 데이터'!F42/'기초 데이터'!F41)</f>
        <v>2.3280066981588386E-2</v>
      </c>
      <c r="E41" s="12">
        <f>LN('기초 데이터'!I42/'기초 데이터'!I41)</f>
        <v>-1.1111225425070835E-2</v>
      </c>
      <c r="F41" s="12">
        <f>LN('기초 데이터'!L42/'기초 데이터'!L41)</f>
        <v>-8.0596320008066602E-2</v>
      </c>
      <c r="I41" s="26">
        <v>8.964843075482086E-2</v>
      </c>
      <c r="J41" s="26">
        <v>4.5691493277890322E-2</v>
      </c>
      <c r="K41" s="26">
        <v>0.45375805748988585</v>
      </c>
      <c r="L41" s="26">
        <v>0.34527872041819629</v>
      </c>
      <c r="M41" s="26">
        <v>0.20096322209191794</v>
      </c>
      <c r="N41" s="26">
        <v>0</v>
      </c>
      <c r="O41" s="2">
        <v>2.0732883000000001E-2</v>
      </c>
      <c r="P41" s="2">
        <v>1.57763E-2</v>
      </c>
      <c r="Q41" s="2">
        <v>9.1823100000000008E-3</v>
      </c>
      <c r="R41" s="2">
        <v>0</v>
      </c>
      <c r="S41" s="28">
        <f t="shared" si="0"/>
        <v>0.50967421173106542</v>
      </c>
      <c r="T41" s="2">
        <f t="shared" si="1"/>
        <v>20.078217678753912</v>
      </c>
    </row>
    <row r="42" spans="1:20">
      <c r="A42" s="12">
        <v>41</v>
      </c>
      <c r="B42" s="13">
        <v>40389</v>
      </c>
      <c r="C42" s="12">
        <f>LN('기초 데이터'!C43/'기초 데이터'!C42)</f>
        <v>6.6069271050006012E-2</v>
      </c>
      <c r="D42" s="12">
        <f>LN('기초 데이터'!F43/'기초 데이터'!F42)</f>
        <v>-5.221070182404141E-2</v>
      </c>
      <c r="E42" s="12">
        <f>LN('기초 데이터'!I43/'기초 데이터'!I42)</f>
        <v>-5.4111560286400288E-2</v>
      </c>
      <c r="F42" s="12">
        <f>LN('기초 데이터'!L43/'기초 데이터'!L42)</f>
        <v>6.1855770017494274E-2</v>
      </c>
      <c r="I42" s="26">
        <v>9.7139575569423195E-2</v>
      </c>
      <c r="J42" s="26">
        <v>4.7973669581073103E-2</v>
      </c>
      <c r="K42" s="26">
        <v>0.47782837451803528</v>
      </c>
      <c r="L42" s="26">
        <v>0.36543726229447954</v>
      </c>
      <c r="M42" s="26">
        <v>0.15673436318748518</v>
      </c>
      <c r="N42" s="26">
        <v>0</v>
      </c>
      <c r="O42" s="2">
        <v>2.2923181000000001E-2</v>
      </c>
      <c r="P42" s="2">
        <v>1.7531366E-2</v>
      </c>
      <c r="Q42" s="2">
        <v>7.519123E-3</v>
      </c>
      <c r="R42" s="2">
        <v>0</v>
      </c>
      <c r="S42" s="28">
        <f t="shared" si="0"/>
        <v>0.49386328177630895</v>
      </c>
      <c r="T42" s="2">
        <f t="shared" si="1"/>
        <v>20.078217678753912</v>
      </c>
    </row>
    <row r="43" spans="1:20">
      <c r="A43" s="12">
        <v>42</v>
      </c>
      <c r="B43" s="13">
        <v>40421</v>
      </c>
      <c r="C43" s="12">
        <f>LN('기초 데이터'!C44/'기초 데이터'!C43)</f>
        <v>-4.6023522378081216E-2</v>
      </c>
      <c r="D43" s="12">
        <f>LN('기초 데이터'!F44/'기초 데이터'!F43)</f>
        <v>5.5492621409150795E-2</v>
      </c>
      <c r="E43" s="12">
        <f>LN('기초 데이터'!I44/'기초 데이터'!I43)</f>
        <v>1.587998267746283E-2</v>
      </c>
      <c r="F43" s="12">
        <f>LN('기초 데이터'!L44/'기초 데이터'!L43)</f>
        <v>-7.7354843673860071E-2</v>
      </c>
      <c r="I43" s="26">
        <v>0.10463072038402553</v>
      </c>
      <c r="J43" s="26">
        <v>5.0208630973149225E-2</v>
      </c>
      <c r="K43" s="26">
        <v>0.50138794224639882</v>
      </c>
      <c r="L43" s="26">
        <v>0.38518990866890962</v>
      </c>
      <c r="M43" s="26">
        <v>0.11342214908469145</v>
      </c>
      <c r="N43" s="26">
        <v>0</v>
      </c>
      <c r="O43" s="2">
        <v>2.5174002000000001E-2</v>
      </c>
      <c r="P43" s="2">
        <v>1.9339858000000001E-2</v>
      </c>
      <c r="Q43" s="2">
        <v>5.6947710000000004E-3</v>
      </c>
      <c r="R43" s="2">
        <v>0</v>
      </c>
      <c r="S43" s="28">
        <f t="shared" si="0"/>
        <v>0.4798650987861765</v>
      </c>
      <c r="T43" s="2">
        <f t="shared" si="1"/>
        <v>20.078217678753912</v>
      </c>
    </row>
    <row r="44" spans="1:20">
      <c r="A44" s="12">
        <v>43</v>
      </c>
      <c r="B44" s="13">
        <v>40451</v>
      </c>
      <c r="C44" s="12">
        <f>LN('기초 데이터'!C45/'기초 데이터'!C44)</f>
        <v>8.0429768173002861E-2</v>
      </c>
      <c r="D44" s="12">
        <f>LN('기초 데이터'!F45/'기초 데이터'!F44)</f>
        <v>4.6650324075154972E-2</v>
      </c>
      <c r="E44" s="12">
        <f>LN('기초 데이터'!I45/'기초 데이터'!I44)</f>
        <v>-5.4527987071175323E-2</v>
      </c>
      <c r="F44" s="12">
        <f>LN('기초 데이터'!L45/'기초 데이터'!L44)</f>
        <v>0.11478752667658497</v>
      </c>
      <c r="I44" s="26">
        <v>0.11212186519862787</v>
      </c>
      <c r="J44" s="26">
        <v>5.2408081932643992E-2</v>
      </c>
      <c r="K44" s="26">
        <v>0.52421415659410409</v>
      </c>
      <c r="L44" s="26">
        <v>0.40494235869148287</v>
      </c>
      <c r="M44" s="26">
        <v>7.084348471441318E-2</v>
      </c>
      <c r="N44" s="26">
        <v>0</v>
      </c>
      <c r="O44" s="2">
        <v>2.7473058000000002E-2</v>
      </c>
      <c r="P44" s="2">
        <v>2.1222252E-2</v>
      </c>
      <c r="Q44" s="2">
        <v>3.7127710000000001E-3</v>
      </c>
      <c r="R44" s="2">
        <v>0</v>
      </c>
      <c r="S44" s="28">
        <f t="shared" si="0"/>
        <v>0.46742071084708781</v>
      </c>
      <c r="T44" s="2">
        <f t="shared" si="1"/>
        <v>20.078217678753912</v>
      </c>
    </row>
    <row r="45" spans="1:20">
      <c r="A45" s="12">
        <v>44</v>
      </c>
      <c r="B45" s="13">
        <v>40480</v>
      </c>
      <c r="C45" s="12">
        <f>LN('기초 데이터'!C46/'기초 데이터'!C45)</f>
        <v>3.7490419263139986E-2</v>
      </c>
      <c r="D45" s="12">
        <f>LN('기초 데이터'!F46/'기초 데이터'!F45)</f>
        <v>3.6161004329419877E-2</v>
      </c>
      <c r="E45" s="12">
        <f>LN('기초 데이터'!I46/'기초 데이터'!I45)</f>
        <v>-2.0792609285771178E-2</v>
      </c>
      <c r="F45" s="12">
        <f>LN('기초 데이터'!L46/'기초 데이터'!L45)</f>
        <v>4.0644200938135054E-2</v>
      </c>
      <c r="I45" s="26">
        <v>0.1196130100132302</v>
      </c>
      <c r="J45" s="26">
        <v>5.4579528838694893E-2</v>
      </c>
      <c r="K45" s="26">
        <v>0.54728223449577618</v>
      </c>
      <c r="L45" s="26">
        <v>0.42397812551029301</v>
      </c>
      <c r="M45" s="26">
        <v>2.8739639993930748E-2</v>
      </c>
      <c r="N45" s="26">
        <v>0</v>
      </c>
      <c r="O45" s="2">
        <v>2.9870407000000002E-2</v>
      </c>
      <c r="P45" s="2">
        <v>2.3140526000000002E-2</v>
      </c>
      <c r="Q45" s="2">
        <v>1.568596E-3</v>
      </c>
      <c r="R45" s="2">
        <v>0</v>
      </c>
      <c r="S45" s="28">
        <f t="shared" si="0"/>
        <v>0.45630093944344297</v>
      </c>
      <c r="T45" s="2">
        <f t="shared" si="1"/>
        <v>20.078217678753912</v>
      </c>
    </row>
    <row r="46" spans="1:20">
      <c r="A46" s="12">
        <v>45</v>
      </c>
      <c r="B46" s="13">
        <v>40512</v>
      </c>
      <c r="C46" s="12">
        <f>LN('기초 데이터'!C47/'기초 데이터'!C46)</f>
        <v>0</v>
      </c>
      <c r="D46" s="12">
        <f>LN('기초 데이터'!F47/'기초 데이터'!F46)</f>
        <v>2.0893164116777548E-2</v>
      </c>
      <c r="E46" s="12">
        <f>LN('기초 데이터'!I47/'기초 데이터'!I46)</f>
        <v>4.9279645648074993E-2</v>
      </c>
      <c r="F46" s="12">
        <f>LN('기초 데이터'!L47/'기초 데이터'!L46)</f>
        <v>3.4257107234982681E-2</v>
      </c>
      <c r="I46" s="26">
        <v>0.12710415482783255</v>
      </c>
      <c r="J46" s="26">
        <v>5.6571412436978899E-2</v>
      </c>
      <c r="K46" s="26">
        <v>0.46418120773089599</v>
      </c>
      <c r="L46" s="26">
        <v>0.46745965902556652</v>
      </c>
      <c r="M46" s="26">
        <v>0</v>
      </c>
      <c r="N46" s="26">
        <v>6.835913324353754E-2</v>
      </c>
      <c r="O46" s="2">
        <v>2.6259386999999999E-2</v>
      </c>
      <c r="P46" s="2">
        <v>2.6444853000000001E-2</v>
      </c>
      <c r="Q46" s="2">
        <v>0</v>
      </c>
      <c r="R46" s="2">
        <v>3.8671729999999998E-3</v>
      </c>
      <c r="S46" s="28">
        <f t="shared" si="0"/>
        <v>0.44507917552818826</v>
      </c>
      <c r="T46" s="2">
        <f t="shared" si="1"/>
        <v>20.078217678753912</v>
      </c>
    </row>
    <row r="47" spans="1:20">
      <c r="A47" s="12">
        <v>46</v>
      </c>
      <c r="B47" s="13">
        <v>40542</v>
      </c>
      <c r="C47" s="12">
        <f>LN('기초 데이터'!C48/'기초 데이터'!C47)</f>
        <v>5.9228643100718376E-2</v>
      </c>
      <c r="D47" s="12">
        <f>LN('기초 데이터'!F48/'기초 데이터'!F47)</f>
        <v>1.1818819900610343E-2</v>
      </c>
      <c r="E47" s="12">
        <f>LN('기초 데이터'!I48/'기초 데이터'!I47)</f>
        <v>-2.499052930357434E-2</v>
      </c>
      <c r="F47" s="12">
        <f>LN('기초 데이터'!L48/'기초 데이터'!L47)</f>
        <v>7.937634771932299E-2</v>
      </c>
      <c r="I47" s="26">
        <v>0.13459529964243488</v>
      </c>
      <c r="J47" s="26">
        <v>5.780737217505378E-2</v>
      </c>
      <c r="K47" s="26">
        <v>0.20993284501064749</v>
      </c>
      <c r="L47" s="26">
        <v>0.51780315713546732</v>
      </c>
      <c r="M47" s="26">
        <v>0</v>
      </c>
      <c r="N47" s="26">
        <v>0.27226399785388511</v>
      </c>
      <c r="O47" s="2">
        <v>1.2135666E-2</v>
      </c>
      <c r="P47" s="2">
        <v>2.9932839999999999E-2</v>
      </c>
      <c r="Q47" s="2">
        <v>0</v>
      </c>
      <c r="R47" s="2">
        <v>1.5738866000000001E-2</v>
      </c>
      <c r="S47" s="28">
        <f t="shared" si="0"/>
        <v>0.42949027439014975</v>
      </c>
      <c r="T47" s="2">
        <f t="shared" si="1"/>
        <v>20.078217678753912</v>
      </c>
    </row>
    <row r="48" spans="1:20">
      <c r="A48" s="12">
        <v>47</v>
      </c>
      <c r="B48" s="13">
        <v>40574</v>
      </c>
      <c r="C48" s="12">
        <f>LN('기초 데이터'!C49/'기초 데이터'!C48)</f>
        <v>2.32714904414589E-2</v>
      </c>
      <c r="D48" s="12">
        <f>LN('기초 데이터'!F49/'기초 데이터'!F48)</f>
        <v>-5.3665929836110682E-2</v>
      </c>
      <c r="E48" s="12">
        <f>LN('기초 데이터'!I49/'기초 데이터'!I48)</f>
        <v>-2.4736243559640506E-2</v>
      </c>
      <c r="F48" s="12">
        <f>LN('기초 데이터'!L49/'기초 데이터'!L48)</f>
        <v>-1.0337658267139246E-2</v>
      </c>
      <c r="I48" s="26">
        <v>0.14208644445703722</v>
      </c>
      <c r="J48" s="26">
        <v>5.8786649333691127E-2</v>
      </c>
      <c r="K48" s="26">
        <v>8.697348798022744E-3</v>
      </c>
      <c r="L48" s="26">
        <v>0.55803338092528931</v>
      </c>
      <c r="M48" s="26">
        <v>0</v>
      </c>
      <c r="N48" s="26">
        <v>0.43326927027668793</v>
      </c>
      <c r="O48" s="2">
        <v>5.1128800000000004E-4</v>
      </c>
      <c r="P48" s="2">
        <v>3.2804912999999998E-2</v>
      </c>
      <c r="Q48" s="2">
        <v>0</v>
      </c>
      <c r="R48" s="2">
        <v>2.5470448999999999E-2</v>
      </c>
      <c r="S48" s="28">
        <f t="shared" si="0"/>
        <v>0.41373861917887944</v>
      </c>
      <c r="T48" s="2">
        <f t="shared" si="1"/>
        <v>20.078217678753912</v>
      </c>
    </row>
    <row r="49" spans="1:20">
      <c r="A49" s="12">
        <v>48</v>
      </c>
      <c r="B49" s="13">
        <v>40602</v>
      </c>
      <c r="C49" s="12">
        <f>LN('기초 데이터'!C50/'기초 데이터'!C49)</f>
        <v>3.4147609889115617E-2</v>
      </c>
      <c r="D49" s="12">
        <f>LN('기초 데이터'!F50/'기초 데이터'!F49)</f>
        <v>5.8252926848219241E-2</v>
      </c>
      <c r="E49" s="12">
        <f>LN('기초 데이터'!I50/'기초 데이터'!I49)</f>
        <v>-1.21486308548726E-2</v>
      </c>
      <c r="F49" s="12">
        <f>LN('기초 데이터'!L50/'기초 데이터'!L49)</f>
        <v>5.3938925677053294E-2</v>
      </c>
      <c r="I49" s="26">
        <v>0.14957758927163955</v>
      </c>
      <c r="J49" s="26">
        <v>5.9174708170858195E-2</v>
      </c>
      <c r="K49" s="26">
        <v>0</v>
      </c>
      <c r="L49" s="26">
        <v>0.68919523934760063</v>
      </c>
      <c r="M49" s="26">
        <v>0</v>
      </c>
      <c r="N49" s="26">
        <v>0.31080476065239937</v>
      </c>
      <c r="O49" s="2">
        <v>0</v>
      </c>
      <c r="P49" s="2">
        <v>4.0782926999999997E-2</v>
      </c>
      <c r="Q49" s="2">
        <v>0</v>
      </c>
      <c r="R49" s="2">
        <v>1.8391780999999999E-2</v>
      </c>
      <c r="S49" s="28">
        <f t="shared" si="0"/>
        <v>0.39561212651578637</v>
      </c>
      <c r="T49" s="2">
        <f t="shared" si="1"/>
        <v>20.078217678753912</v>
      </c>
    </row>
    <row r="50" spans="1:20">
      <c r="A50" s="12">
        <v>49</v>
      </c>
      <c r="B50" s="13">
        <v>40633</v>
      </c>
      <c r="C50" s="12">
        <f>LN('기초 데이터'!C51/'기초 데이터'!C50)</f>
        <v>-4.2146521333138228E-3</v>
      </c>
      <c r="D50" s="12">
        <f>LN('기초 데이터'!F51/'기초 데이터'!F50)</f>
        <v>1.5855045305502812E-2</v>
      </c>
      <c r="E50" s="12">
        <f>LN('기초 데이터'!I51/'기초 데이터'!I50)</f>
        <v>-1.367386847549734E-2</v>
      </c>
      <c r="F50" s="12">
        <f>LN('기초 데이터'!L51/'기초 데이터'!L50)</f>
        <v>2.2832042042645908E-2</v>
      </c>
      <c r="I50" s="26">
        <v>0.15706873408624189</v>
      </c>
      <c r="J50" s="26">
        <v>5.9369122116320019E-2</v>
      </c>
      <c r="K50" s="26">
        <v>0</v>
      </c>
      <c r="L50" s="26">
        <v>0.76197259626283254</v>
      </c>
      <c r="M50" s="26">
        <v>0</v>
      </c>
      <c r="N50" s="26">
        <v>0.23802740373716749</v>
      </c>
      <c r="O50" s="2">
        <v>0</v>
      </c>
      <c r="P50" s="2">
        <v>4.5237644E-2</v>
      </c>
      <c r="Q50" s="2">
        <v>0</v>
      </c>
      <c r="R50" s="2">
        <v>1.4131477999999999E-2</v>
      </c>
      <c r="S50" s="28">
        <f t="shared" si="0"/>
        <v>0.37798179543308824</v>
      </c>
      <c r="T50" s="2">
        <f t="shared" si="1"/>
        <v>20.078217678753912</v>
      </c>
    </row>
    <row r="51" spans="1:20">
      <c r="A51" s="12">
        <v>50</v>
      </c>
      <c r="B51" s="13">
        <v>40662</v>
      </c>
      <c r="C51" s="12">
        <f>LN('기초 데이터'!C52/'기초 데이터'!C51)</f>
        <v>2.8550002448155386E-2</v>
      </c>
      <c r="D51" s="12">
        <f>LN('기초 데이터'!F52/'기초 데이터'!F51)</f>
        <v>8.5669851205542574E-2</v>
      </c>
      <c r="E51" s="12">
        <f>LN('기초 데이터'!I52/'기초 데이터'!I51)</f>
        <v>-3.9312502588381731E-2</v>
      </c>
      <c r="F51" s="12">
        <f>LN('기초 데이터'!L52/'기초 데이터'!L51)</f>
        <v>2.6033365147308064E-2</v>
      </c>
      <c r="I51" s="26">
        <v>0.16455987890084423</v>
      </c>
      <c r="J51" s="26">
        <v>5.9523977240745422E-2</v>
      </c>
      <c r="K51" s="26">
        <v>0</v>
      </c>
      <c r="L51" s="26">
        <v>0.81994141446508573</v>
      </c>
      <c r="M51" s="26">
        <v>0</v>
      </c>
      <c r="N51" s="26">
        <v>0.18005858553491436</v>
      </c>
      <c r="O51" s="2">
        <v>0</v>
      </c>
      <c r="P51" s="2">
        <v>4.8806174000000001E-2</v>
      </c>
      <c r="Q51" s="2">
        <v>0</v>
      </c>
      <c r="R51" s="2">
        <v>1.0717803E-2</v>
      </c>
      <c r="S51" s="28">
        <f t="shared" si="0"/>
        <v>0.36171621927731046</v>
      </c>
      <c r="T51" s="2">
        <f t="shared" si="1"/>
        <v>20.078217678753912</v>
      </c>
    </row>
    <row r="52" spans="1:20">
      <c r="A52" s="12">
        <v>51</v>
      </c>
      <c r="B52" s="13">
        <v>40694</v>
      </c>
      <c r="C52" s="12">
        <f>LN('기초 데이터'!C53/'기초 데이터'!C52)</f>
        <v>-1.12778993610726E-2</v>
      </c>
      <c r="D52" s="12">
        <f>LN('기초 데이터'!F53/'기초 데이터'!F52)</f>
        <v>-1.8079364001318043E-2</v>
      </c>
      <c r="E52" s="12">
        <f>LN('기초 데이터'!I53/'기초 데이터'!I52)</f>
        <v>1.8444599505460534E-2</v>
      </c>
      <c r="F52" s="12">
        <f>LN('기초 데이터'!L53/'기초 데이터'!L52)</f>
        <v>-1.8104798674311116E-2</v>
      </c>
      <c r="I52" s="26">
        <v>0.17205102371544656</v>
      </c>
      <c r="J52" s="26">
        <v>5.9659083757067688E-2</v>
      </c>
      <c r="K52" s="26">
        <v>0</v>
      </c>
      <c r="L52" s="26">
        <v>0.87051749395671973</v>
      </c>
      <c r="M52" s="26">
        <v>0</v>
      </c>
      <c r="N52" s="26">
        <v>0.12948250604328024</v>
      </c>
      <c r="O52" s="2">
        <v>0</v>
      </c>
      <c r="P52" s="2">
        <v>5.1934276000000001E-2</v>
      </c>
      <c r="Q52" s="2">
        <v>0</v>
      </c>
      <c r="R52" s="2">
        <v>7.7248079999999997E-3</v>
      </c>
      <c r="S52" s="28">
        <f t="shared" si="0"/>
        <v>0.34675227423079585</v>
      </c>
      <c r="T52" s="2">
        <f t="shared" si="1"/>
        <v>20.078217678753912</v>
      </c>
    </row>
    <row r="53" spans="1:20">
      <c r="A53" s="12">
        <v>52</v>
      </c>
      <c r="B53" s="13">
        <v>40724</v>
      </c>
      <c r="C53" s="12">
        <f>LN('기초 데이터'!C54/'기초 데이터'!C53)</f>
        <v>-2.1959139184972117E-2</v>
      </c>
      <c r="D53" s="12">
        <f>LN('기초 데이터'!F54/'기초 데이터'!F53)</f>
        <v>-2.4625787771608825E-2</v>
      </c>
      <c r="E53" s="12">
        <f>LN('기초 데이터'!I54/'기초 데이터'!I53)</f>
        <v>-5.6391126877702617E-3</v>
      </c>
      <c r="F53" s="12">
        <f>LN('기초 데이터'!L54/'기초 데이터'!L53)</f>
        <v>-2.4339068305267744E-2</v>
      </c>
      <c r="I53" s="26">
        <v>0.1795421685300489</v>
      </c>
      <c r="J53" s="26">
        <v>5.9781988636870356E-2</v>
      </c>
      <c r="K53" s="26">
        <v>0</v>
      </c>
      <c r="L53" s="26">
        <v>0.91652598518287109</v>
      </c>
      <c r="M53" s="26">
        <v>0</v>
      </c>
      <c r="N53" s="26">
        <v>8.3474014817128975E-2</v>
      </c>
      <c r="O53" s="2">
        <v>0</v>
      </c>
      <c r="P53" s="2">
        <v>5.4791746000000002E-2</v>
      </c>
      <c r="Q53" s="2">
        <v>0</v>
      </c>
      <c r="R53" s="2">
        <v>4.9902430000000001E-3</v>
      </c>
      <c r="S53" s="28">
        <f t="shared" si="0"/>
        <v>0.33296906863896436</v>
      </c>
      <c r="T53" s="2">
        <f t="shared" si="1"/>
        <v>20.078217678753912</v>
      </c>
    </row>
    <row r="54" spans="1:20">
      <c r="A54" s="12">
        <v>53</v>
      </c>
      <c r="B54" s="13">
        <v>40753</v>
      </c>
      <c r="C54" s="12">
        <f>LN('기초 데이터'!C55/'기초 데이터'!C54)</f>
        <v>-2.0207346601584995E-2</v>
      </c>
      <c r="D54" s="12">
        <f>LN('기초 데이터'!F55/'기초 데이터'!F54)</f>
        <v>8.0822171989310534E-2</v>
      </c>
      <c r="E54" s="12">
        <f>LN('기초 데이터'!I55/'기초 데이터'!I54)</f>
        <v>-8.9941434712285384E-3</v>
      </c>
      <c r="F54" s="12">
        <f>LN('기초 데이터'!L55/'기초 데이터'!L54)</f>
        <v>-3.7656719438005054E-2</v>
      </c>
      <c r="I54" s="26">
        <v>0.18703331334465123</v>
      </c>
      <c r="J54" s="26">
        <v>5.9896543387430175E-2</v>
      </c>
      <c r="K54" s="26">
        <v>0</v>
      </c>
      <c r="L54" s="26">
        <v>0.95940867010561348</v>
      </c>
      <c r="M54" s="26">
        <v>0</v>
      </c>
      <c r="N54" s="26">
        <v>4.059132989438663E-2</v>
      </c>
      <c r="O54" s="2">
        <v>0</v>
      </c>
      <c r="P54" s="2">
        <v>5.7465263000000003E-2</v>
      </c>
      <c r="Q54" s="2">
        <v>0</v>
      </c>
      <c r="R54" s="2">
        <v>2.4312800000000001E-3</v>
      </c>
      <c r="S54" s="28">
        <f t="shared" si="0"/>
        <v>0.32024532055985788</v>
      </c>
      <c r="T54" s="2">
        <f t="shared" si="1"/>
        <v>20.078217678753912</v>
      </c>
    </row>
    <row r="55" spans="1:20">
      <c r="A55" s="12">
        <v>54</v>
      </c>
      <c r="B55" s="13">
        <v>40786</v>
      </c>
      <c r="C55" s="12">
        <f>LN('기초 데이터'!C56/'기초 데이터'!C55)</f>
        <v>-5.654457796038357E-2</v>
      </c>
      <c r="D55" s="12">
        <f>LN('기초 데이터'!F56/'기초 데이터'!F55)</f>
        <v>0.11578048437006086</v>
      </c>
      <c r="E55" s="12">
        <f>LN('기초 데이터'!I56/'기초 데이터'!I55)</f>
        <v>1.9002381014892899E-3</v>
      </c>
      <c r="F55" s="12">
        <f>LN('기초 데이터'!L56/'기초 데이터'!L55)</f>
        <v>-9.3117951936916854E-2</v>
      </c>
      <c r="I55" s="26">
        <v>0.19452445815925365</v>
      </c>
      <c r="J55" s="26">
        <v>6.0004977121915763E-2</v>
      </c>
      <c r="K55" s="26">
        <v>0</v>
      </c>
      <c r="L55" s="26">
        <v>0.99999999999999989</v>
      </c>
      <c r="M55" s="26">
        <v>0</v>
      </c>
      <c r="N55" s="26">
        <v>0</v>
      </c>
      <c r="O55" s="2">
        <v>0</v>
      </c>
      <c r="P55" s="2">
        <v>6.0004977000000001E-2</v>
      </c>
      <c r="Q55" s="2">
        <v>0</v>
      </c>
      <c r="R55" s="2">
        <v>0</v>
      </c>
      <c r="S55" s="28">
        <f t="shared" si="0"/>
        <v>0.30847009003253861</v>
      </c>
      <c r="T55" s="2">
        <f t="shared" si="1"/>
        <v>20.078217678753912</v>
      </c>
    </row>
    <row r="56" spans="1:20">
      <c r="A56" s="12">
        <v>55</v>
      </c>
      <c r="B56" s="13">
        <v>40816</v>
      </c>
      <c r="C56" s="12">
        <f>LN('기초 데이터'!C57/'기초 데이터'!C56)</f>
        <v>-7.7108327387223022E-2</v>
      </c>
      <c r="D56" s="12">
        <f>LN('기초 데이터'!F57/'기초 데이터'!F56)</f>
        <v>-0.11723457029087843</v>
      </c>
      <c r="E56" s="12">
        <f>LN('기초 데이터'!I57/'기초 데이터'!I56)</f>
        <v>5.7184780628343423E-2</v>
      </c>
      <c r="F56" s="12">
        <f>LN('기초 데이터'!L57/'기초 데이터'!L56)</f>
        <v>-0.1220937587727183</v>
      </c>
      <c r="I56" s="26"/>
      <c r="J56" s="26"/>
      <c r="K56" s="26"/>
      <c r="L56" s="26"/>
      <c r="M56" s="26"/>
      <c r="N56" s="26"/>
      <c r="S56" s="28"/>
    </row>
    <row r="57" spans="1:20">
      <c r="A57" s="12">
        <v>56</v>
      </c>
      <c r="B57" s="13">
        <v>40847</v>
      </c>
      <c r="C57" s="12">
        <f>LN('기초 데이터'!C58/'기초 데이터'!C57)</f>
        <v>0.1035913864922922</v>
      </c>
      <c r="D57" s="12">
        <f>LN('기초 데이터'!F58/'기초 데이터'!F57)</f>
        <v>5.7052963090623389E-2</v>
      </c>
      <c r="E57" s="12">
        <f>LN('기초 데이터'!I58/'기초 데이터'!I57)</f>
        <v>-3.3731548043376025E-2</v>
      </c>
      <c r="F57" s="12">
        <f>LN('기초 데이터'!L58/'기초 데이터'!L57)</f>
        <v>0.14064058796580142</v>
      </c>
      <c r="H57" s="27"/>
      <c r="I57" s="26"/>
      <c r="J57" s="26"/>
      <c r="K57" s="26"/>
      <c r="L57" s="26"/>
      <c r="M57" s="26"/>
      <c r="N57" s="26"/>
      <c r="S57" s="28"/>
    </row>
    <row r="58" spans="1:20">
      <c r="A58" s="12">
        <v>57</v>
      </c>
      <c r="B58" s="13">
        <v>40877</v>
      </c>
      <c r="C58" s="12">
        <f>LN('기초 데이터'!C59/'기초 데이터'!C58)</f>
        <v>-4.0720244697081617E-3</v>
      </c>
      <c r="D58" s="12">
        <f>LN('기초 데이터'!F59/'기초 데이터'!F58)</f>
        <v>1.653517982659361E-2</v>
      </c>
      <c r="E58" s="12">
        <f>LN('기초 데이터'!I59/'기초 데이터'!I58)</f>
        <v>2.24625534242914E-2</v>
      </c>
      <c r="F58" s="12">
        <f>LN('기초 데이터'!L59/'기초 데이터'!L58)</f>
        <v>-3.7904472078157886E-3</v>
      </c>
      <c r="I58" s="26"/>
      <c r="J58" s="26"/>
      <c r="K58" s="26"/>
      <c r="L58" s="26"/>
      <c r="M58" s="26"/>
      <c r="N58" s="26"/>
      <c r="S58" s="28"/>
    </row>
    <row r="59" spans="1:20">
      <c r="A59" s="12">
        <v>58</v>
      </c>
      <c r="B59" s="13">
        <v>40906</v>
      </c>
      <c r="C59" s="12">
        <f>LN('기초 데이터'!C60/'기초 데이터'!C59)</f>
        <v>9.0001005747296411E-3</v>
      </c>
      <c r="D59" s="12">
        <f>LN('기초 데이터'!F60/'기초 데이터'!F59)</f>
        <v>-0.12366345494472347</v>
      </c>
      <c r="E59" s="12">
        <f>LN('기초 데이터'!I60/'기초 데이터'!I59)</f>
        <v>2.0193641093284576E-2</v>
      </c>
      <c r="F59" s="12">
        <f>LN('기초 데이터'!L60/'기초 데이터'!L59)</f>
        <v>5.6802965823819582E-3</v>
      </c>
      <c r="I59" s="26"/>
      <c r="J59" s="26"/>
      <c r="K59" s="26"/>
      <c r="L59" s="26"/>
      <c r="M59" s="26"/>
      <c r="N59" s="26"/>
      <c r="S59" s="28"/>
    </row>
    <row r="60" spans="1:20">
      <c r="A60" s="12">
        <v>59</v>
      </c>
      <c r="B60" s="13">
        <v>40939</v>
      </c>
      <c r="C60" s="12">
        <f>LN('기초 데이터'!C61/'기초 데이터'!C60)</f>
        <v>4.0403257956531713E-2</v>
      </c>
      <c r="D60" s="12">
        <f>LN('기초 데이터'!F61/'기초 데이터'!F60)</f>
        <v>0.11883195839081769</v>
      </c>
      <c r="E60" s="12">
        <f>LN('기초 데이터'!I61/'기초 데이터'!I60)</f>
        <v>-1.74774782645068E-2</v>
      </c>
      <c r="F60" s="12">
        <f>LN('기초 데이터'!L61/'기초 데이터'!L60)</f>
        <v>6.3610916399303524E-2</v>
      </c>
      <c r="I60" s="26"/>
      <c r="J60" s="26"/>
      <c r="K60" s="26"/>
      <c r="L60" s="26"/>
      <c r="M60" s="26"/>
      <c r="N60" s="26"/>
      <c r="S60" s="28"/>
    </row>
    <row r="61" spans="1:20">
      <c r="A61" s="12">
        <v>60</v>
      </c>
      <c r="B61" s="13">
        <v>40968</v>
      </c>
      <c r="C61" s="12">
        <f>LN('기초 데이터'!C62/'기초 데이터'!C61)</f>
        <v>4.2489807941361105E-2</v>
      </c>
      <c r="D61" s="12">
        <f>LN('기초 데이터'!F62/'기초 데이터'!F61)</f>
        <v>-3.0098195221895056E-2</v>
      </c>
      <c r="E61" s="12">
        <f>LN('기초 데이터'!I62/'기초 데이터'!I61)</f>
        <v>-7.2595600128042229E-3</v>
      </c>
      <c r="F61" s="12">
        <f>LN('기초 데이터'!L62/'기초 데이터'!L61)</f>
        <v>2.5365263198440513E-2</v>
      </c>
      <c r="I61" s="26"/>
      <c r="J61" s="26"/>
      <c r="K61" s="26"/>
      <c r="L61" s="26"/>
      <c r="M61" s="26"/>
      <c r="N61" s="26"/>
      <c r="S61" s="28"/>
    </row>
    <row r="62" spans="1:20">
      <c r="A62" s="12">
        <v>61</v>
      </c>
      <c r="B62" s="13">
        <v>40998</v>
      </c>
      <c r="C62" s="12">
        <f>LN('기초 데이터'!C63/'기초 데이터'!C62)</f>
        <v>2.7284563354467137E-2</v>
      </c>
      <c r="D62" s="12">
        <f>LN('기초 데이터'!F63/'기초 데이터'!F62)</f>
        <v>-1.3296357158137574E-2</v>
      </c>
      <c r="E62" s="12">
        <f>LN('기초 데이터'!I63/'기초 데이터'!I62)</f>
        <v>-2.2794630339547498E-3</v>
      </c>
      <c r="F62" s="12">
        <f>LN('기초 데이터'!L63/'기초 데이터'!L62)</f>
        <v>2.1482578863923685E-2</v>
      </c>
      <c r="I62" s="26"/>
      <c r="J62" s="26"/>
      <c r="K62" s="26"/>
      <c r="L62" s="26"/>
      <c r="M62" s="26"/>
      <c r="N62" s="26"/>
      <c r="S62" s="28"/>
    </row>
    <row r="63" spans="1:20">
      <c r="A63" s="12">
        <v>62</v>
      </c>
      <c r="B63" s="13">
        <v>41029</v>
      </c>
      <c r="C63" s="12">
        <f>LN('기초 데이터'!C64/'기초 데이터'!C63)</f>
        <v>-6.6980441380076593E-3</v>
      </c>
      <c r="D63" s="12">
        <f>LN('기초 데이터'!F64/'기초 데이터'!F63)</f>
        <v>-1.4814817524430284E-3</v>
      </c>
      <c r="E63" s="12">
        <f>LN('기초 데이터'!I64/'기초 데이터'!I63)</f>
        <v>-4.5745733938375721E-3</v>
      </c>
      <c r="F63" s="12">
        <f>LN('기초 데이터'!L64/'기초 데이터'!L63)</f>
        <v>-1.631397272305839E-2</v>
      </c>
      <c r="I63" s="26"/>
      <c r="J63" s="26"/>
      <c r="K63" s="26"/>
      <c r="L63" s="26"/>
      <c r="M63" s="26"/>
      <c r="N63" s="26"/>
      <c r="S63" s="28"/>
    </row>
    <row r="64" spans="1:20">
      <c r="A64" s="12">
        <v>63</v>
      </c>
      <c r="B64" s="13">
        <v>41060</v>
      </c>
      <c r="C64" s="12">
        <f>LN('기초 데이터'!C65/'기초 데이터'!C64)</f>
        <v>-6.1934731082699666E-2</v>
      </c>
      <c r="D64" s="12">
        <f>LN('기초 데이터'!F65/'기초 데이터'!F64)</f>
        <v>-6.5477929379506875E-2</v>
      </c>
      <c r="E64" s="12">
        <f>LN('기초 데이터'!I65/'기초 데이터'!I64)</f>
        <v>5.2690758561552392E-2</v>
      </c>
      <c r="F64" s="12">
        <f>LN('기초 데이터'!L65/'기초 데이터'!L64)</f>
        <v>-6.8055192043250196E-2</v>
      </c>
      <c r="I64" s="26"/>
      <c r="J64" s="26"/>
      <c r="K64" s="26"/>
      <c r="L64" s="26"/>
      <c r="M64" s="26"/>
      <c r="N64" s="26"/>
      <c r="S64" s="28"/>
    </row>
    <row r="65" spans="1:19">
      <c r="A65" s="12">
        <v>64</v>
      </c>
      <c r="B65" s="13">
        <v>41089</v>
      </c>
      <c r="C65" s="12">
        <f>LN('기초 데이터'!C66/'기초 데이터'!C65)</f>
        <v>3.4684693635469499E-2</v>
      </c>
      <c r="D65" s="12">
        <f>LN('기초 데이터'!F66/'기초 데이터'!F65)</f>
        <v>2.3272782055375432E-2</v>
      </c>
      <c r="E65" s="12">
        <f>LN('기초 데이터'!I66/'기초 데이터'!I65)</f>
        <v>-2.2878252577852313E-2</v>
      </c>
      <c r="F65" s="12">
        <f>LN('기초 데이터'!L66/'기초 데이터'!L65)</f>
        <v>4.433179170647137E-2</v>
      </c>
      <c r="I65" s="26"/>
      <c r="J65" s="26"/>
      <c r="K65" s="26"/>
      <c r="L65" s="26"/>
      <c r="M65" s="26"/>
      <c r="N65" s="26"/>
      <c r="S65" s="28"/>
    </row>
    <row r="66" spans="1:19">
      <c r="A66" s="12">
        <v>65</v>
      </c>
      <c r="B66" s="13">
        <v>41121</v>
      </c>
      <c r="C66" s="12">
        <f>LN('기초 데이터'!C67/'기초 데이터'!C66)</f>
        <v>1.1686642395052358E-2</v>
      </c>
      <c r="D66" s="12">
        <f>LN('기초 데이터'!F67/'기초 데이터'!F66)</f>
        <v>8.3419374915472532E-3</v>
      </c>
      <c r="E66" s="12">
        <f>LN('기초 데이터'!I67/'기초 데이터'!I66)</f>
        <v>1.0624269920229424E-2</v>
      </c>
      <c r="F66" s="12">
        <f>LN('기초 데이터'!L67/'기초 데이터'!L66)</f>
        <v>-1.5325485183741673E-2</v>
      </c>
      <c r="I66" s="26"/>
      <c r="J66" s="26"/>
      <c r="K66" s="26"/>
      <c r="L66" s="26"/>
      <c r="M66" s="26"/>
      <c r="N66" s="26"/>
      <c r="S66" s="28"/>
    </row>
    <row r="67" spans="1:19">
      <c r="A67" s="12">
        <v>66</v>
      </c>
      <c r="B67" s="13">
        <v>41152</v>
      </c>
      <c r="C67" s="12">
        <f>LN('기초 데이터'!C68/'기초 데이터'!C67)</f>
        <v>2.474397406803475E-2</v>
      </c>
      <c r="D67" s="12">
        <f>LN('기초 데이터'!F68/'기초 데이터'!F67)</f>
        <v>4.8214882105562087E-2</v>
      </c>
      <c r="E67" s="12">
        <f>LN('기초 데이터'!I68/'기초 데이터'!I67)</f>
        <v>-1.8218677651394066E-2</v>
      </c>
      <c r="F67" s="12">
        <f>LN('기초 데이터'!L68/'기초 데이터'!L67)</f>
        <v>3.4743571040843232E-2</v>
      </c>
      <c r="I67" s="26"/>
      <c r="J67" s="26"/>
      <c r="K67" s="26"/>
      <c r="L67" s="26"/>
      <c r="M67" s="26"/>
      <c r="N67" s="26"/>
      <c r="S67" s="28"/>
    </row>
    <row r="68" spans="1:19">
      <c r="A68" s="12">
        <v>67</v>
      </c>
      <c r="B68" s="13">
        <v>41180</v>
      </c>
      <c r="C68" s="12">
        <f>LN('기초 데이터'!C69/'기초 데이터'!C68)</f>
        <v>1.9710945731194588E-2</v>
      </c>
      <c r="D68" s="12">
        <f>LN('기초 데이터'!F69/'기초 데이터'!F68)</f>
        <v>4.5647745059422803E-2</v>
      </c>
      <c r="E68" s="12">
        <f>LN('기초 데이터'!I69/'기초 데이터'!I68)</f>
        <v>-1.7187216386258249E-2</v>
      </c>
      <c r="F68" s="12">
        <f>LN('기초 데이터'!L69/'기초 데이터'!L68)</f>
        <v>2.819827084964379E-2</v>
      </c>
      <c r="I68" s="26"/>
      <c r="J68" s="26"/>
      <c r="K68" s="26"/>
      <c r="L68" s="26"/>
      <c r="M68" s="26"/>
      <c r="N68" s="26"/>
      <c r="S68" s="28"/>
    </row>
    <row r="69" spans="1:19">
      <c r="A69" s="12">
        <v>68</v>
      </c>
      <c r="B69" s="13">
        <v>41213</v>
      </c>
      <c r="C69" s="12">
        <f>LN('기초 데이터'!C70/'기초 데이터'!C69)</f>
        <v>-1.8365860398664533E-2</v>
      </c>
      <c r="D69" s="12">
        <f>LN('기초 데이터'!F70/'기초 데이터'!F69)</f>
        <v>-2.9879407472483081E-2</v>
      </c>
      <c r="E69" s="12">
        <f>LN('기초 데이터'!I70/'기초 데이터'!I69)</f>
        <v>-1.3695505450432744E-3</v>
      </c>
      <c r="F69" s="12">
        <f>LN('기초 데이터'!L70/'기초 데이터'!L69)</f>
        <v>-2.1930969229252383E-2</v>
      </c>
      <c r="I69" s="26"/>
      <c r="J69" s="26"/>
      <c r="K69" s="26"/>
      <c r="L69" s="26"/>
      <c r="M69" s="26"/>
      <c r="N69" s="26"/>
      <c r="S69" s="28"/>
    </row>
    <row r="70" spans="1:19">
      <c r="A70" s="12">
        <v>69</v>
      </c>
      <c r="B70" s="13">
        <v>41243</v>
      </c>
      <c r="C70" s="12">
        <f>LN('기초 데이터'!C71/'기초 데이터'!C70)</f>
        <v>5.7140997067964844E-3</v>
      </c>
      <c r="D70" s="12">
        <f>LN('기초 데이터'!F71/'기초 데이터'!F70)</f>
        <v>-4.6863820448266955E-3</v>
      </c>
      <c r="E70" s="12">
        <f>LN('기초 데이터'!I71/'기초 데이터'!I70)</f>
        <v>1.3695505450433505E-3</v>
      </c>
      <c r="F70" s="12">
        <f>LN('기초 데이터'!L71/'기초 데이터'!L70)</f>
        <v>5.4975399591947836E-3</v>
      </c>
      <c r="I70" s="26"/>
      <c r="J70" s="26"/>
      <c r="K70" s="26"/>
      <c r="L70" s="26"/>
      <c r="M70" s="26"/>
      <c r="N70" s="26"/>
      <c r="S70" s="28"/>
    </row>
    <row r="71" spans="1:19">
      <c r="A71" s="12">
        <v>70</v>
      </c>
      <c r="B71" s="13">
        <v>41271</v>
      </c>
      <c r="C71" s="12">
        <f>LN('기초 데이터'!C72/'기초 데이터'!C71)</f>
        <v>-1.5096498478710189E-2</v>
      </c>
      <c r="D71" s="12">
        <f>LN('기초 데이터'!F72/'기초 데이터'!F71)</f>
        <v>-3.374581511932484E-2</v>
      </c>
      <c r="E71" s="12">
        <f>LN('기초 데이터'!I72/'기초 데이터'!I71)</f>
        <v>-6.407344575000435E-3</v>
      </c>
      <c r="F71" s="12">
        <f>LN('기초 데이터'!L72/'기초 데이터'!L71)</f>
        <v>5.4674821821333944E-3</v>
      </c>
      <c r="I71" s="26"/>
      <c r="J71" s="26"/>
      <c r="K71" s="26"/>
      <c r="L71" s="26"/>
      <c r="M71" s="26"/>
      <c r="N71" s="26"/>
      <c r="S71" s="28"/>
    </row>
    <row r="72" spans="1:19">
      <c r="A72" s="12">
        <v>71</v>
      </c>
      <c r="B72" s="13">
        <v>41305</v>
      </c>
      <c r="C72" s="12">
        <f>LN('기초 데이터'!C73/'기초 데이터'!C72)</f>
        <v>6.6776606057896815E-2</v>
      </c>
      <c r="D72" s="12">
        <f>LN('기초 데이터'!F73/'기초 데이터'!F72)</f>
        <v>4.1026973690970366E-3</v>
      </c>
      <c r="E72" s="12">
        <f>LN('기초 데이터'!I73/'기초 데이터'!I72)</f>
        <v>-7.373305293752231E-3</v>
      </c>
      <c r="F72" s="12">
        <f>LN('기초 데이터'!L73/'기초 데이터'!L72)</f>
        <v>8.1970217174561169E-2</v>
      </c>
      <c r="I72" s="26"/>
      <c r="J72" s="26"/>
      <c r="K72" s="26"/>
      <c r="L72" s="26"/>
      <c r="M72" s="26"/>
      <c r="N72" s="26"/>
      <c r="S72" s="28"/>
    </row>
    <row r="73" spans="1:19">
      <c r="A73" s="12">
        <v>72</v>
      </c>
      <c r="B73" s="13">
        <v>41333</v>
      </c>
      <c r="C73" s="12">
        <f>LN('기초 데이터'!C74/'기초 데이터'!C73)</f>
        <v>1.2678142667907876E-2</v>
      </c>
      <c r="D73" s="12">
        <f>LN('기초 데이터'!F74/'기초 데이터'!F73)</f>
        <v>-5.2207908680092431E-2</v>
      </c>
      <c r="E73" s="12">
        <f>LN('기초 데이터'!I74/'기초 데이터'!I73)</f>
        <v>3.4101963290975965E-2</v>
      </c>
      <c r="F73" s="12">
        <f>LN('기초 데이터'!L74/'기초 데이터'!L73)</f>
        <v>9.996751028711108E-3</v>
      </c>
      <c r="I73" s="26"/>
      <c r="J73" s="26"/>
      <c r="K73" s="26"/>
      <c r="L73" s="26"/>
      <c r="M73" s="26"/>
      <c r="N73" s="26"/>
      <c r="S73" s="28"/>
    </row>
    <row r="74" spans="1:19">
      <c r="A74" s="12">
        <v>73</v>
      </c>
      <c r="B74" s="13">
        <v>41361</v>
      </c>
      <c r="C74" s="12">
        <f>LN('기초 데이터'!C75/'기초 데이터'!C74)</f>
        <v>3.2830248311905307E-2</v>
      </c>
      <c r="D74" s="12">
        <f>LN('기초 데이터'!F75/'기초 데이터'!F74)</f>
        <v>9.5619813337241427E-3</v>
      </c>
      <c r="E74" s="12">
        <f>LN('기초 데이터'!I75/'기초 데이터'!I74)</f>
        <v>1.0229130776201866E-2</v>
      </c>
      <c r="F74" s="12">
        <f>LN('기초 데이터'!L75/'기초 데이터'!L74)</f>
        <v>4.272998746711288E-2</v>
      </c>
      <c r="I74" s="26"/>
      <c r="J74" s="26"/>
      <c r="K74" s="26"/>
      <c r="L74" s="26"/>
      <c r="M74" s="26"/>
      <c r="N74" s="26"/>
      <c r="S74" s="28"/>
    </row>
    <row r="75" spans="1:19">
      <c r="A75" s="12">
        <v>74</v>
      </c>
      <c r="B75" s="13">
        <v>41394</v>
      </c>
      <c r="C75" s="12">
        <f>LN('기초 데이터'!C76/'기초 데이터'!C75)</f>
        <v>1.9030130157758236E-2</v>
      </c>
      <c r="D75" s="12">
        <f>LN('기초 데이터'!F76/'기초 데이터'!F75)</f>
        <v>-7.8764958925030853E-2</v>
      </c>
      <c r="E75" s="12">
        <f>LN('기초 데이터'!I76/'기초 데이터'!I75)</f>
        <v>-1.7857617400006572E-2</v>
      </c>
      <c r="F75" s="12">
        <f>LN('기초 데이터'!L76/'기초 데이터'!L75)</f>
        <v>-3.5007726836440078E-3</v>
      </c>
      <c r="I75" s="26"/>
      <c r="J75" s="26"/>
      <c r="K75" s="26"/>
      <c r="L75" s="26"/>
      <c r="M75" s="26"/>
      <c r="N75" s="26"/>
      <c r="S75" s="28"/>
    </row>
    <row r="76" spans="1:19">
      <c r="A76" s="12">
        <v>75</v>
      </c>
      <c r="B76" s="13">
        <v>41425</v>
      </c>
      <c r="C76" s="12">
        <f>LN('기초 데이터'!C77/'기초 데이터'!C76)</f>
        <v>2.3335320607065602E-2</v>
      </c>
      <c r="D76" s="12">
        <f>LN('기초 데이터'!F77/'기초 데이터'!F76)</f>
        <v>-6.3992337059963753E-2</v>
      </c>
      <c r="E76" s="12">
        <f>LN('기초 데이터'!I77/'기초 데이터'!I76)</f>
        <v>1.829999741164464E-2</v>
      </c>
      <c r="F76" s="12">
        <f>LN('기초 데이터'!L77/'기초 데이터'!L76)</f>
        <v>3.856653044943769E-2</v>
      </c>
      <c r="I76" s="26"/>
      <c r="J76" s="26"/>
      <c r="K76" s="26"/>
      <c r="L76" s="26"/>
      <c r="M76" s="26"/>
      <c r="N76" s="26"/>
      <c r="S76" s="28"/>
    </row>
    <row r="77" spans="1:19">
      <c r="A77" s="12">
        <v>76</v>
      </c>
      <c r="B77" s="13">
        <v>41453</v>
      </c>
      <c r="C77" s="12">
        <f>LN('기초 데이터'!C78/'기초 데이터'!C77)</f>
        <v>-1.8711757231441146E-2</v>
      </c>
      <c r="D77" s="12">
        <f>LN('기초 데이터'!F78/'기초 데이터'!F77)</f>
        <v>-0.11719517084835557</v>
      </c>
      <c r="E77" s="12">
        <f>LN('기초 데이터'!I78/'기초 데이터'!I77)</f>
        <v>-2.213859660020339E-3</v>
      </c>
      <c r="F77" s="12">
        <f>LN('기초 데이터'!L78/'기초 데이터'!L77)</f>
        <v>-8.2135985373887437E-3</v>
      </c>
      <c r="I77" s="26"/>
      <c r="J77" s="26"/>
      <c r="K77" s="26"/>
      <c r="L77" s="26"/>
      <c r="M77" s="26"/>
      <c r="N77" s="26"/>
      <c r="S77" s="28"/>
    </row>
    <row r="78" spans="1:19">
      <c r="A78" s="12">
        <v>77</v>
      </c>
      <c r="B78" s="13">
        <v>41486</v>
      </c>
      <c r="C78" s="12">
        <f>LN('기초 데이터'!C79/'기초 데이터'!C78)</f>
        <v>5.0385888679105137E-2</v>
      </c>
      <c r="D78" s="12">
        <f>LN('기초 데이터'!F79/'기초 데이터'!F78)</f>
        <v>7.1670279188507657E-2</v>
      </c>
      <c r="E78" s="12">
        <f>LN('기초 데이터'!I79/'기초 데이터'!I78)</f>
        <v>-2.0600818106150946E-2</v>
      </c>
      <c r="F78" s="12">
        <f>LN('기초 데이터'!L79/'기초 데이터'!L78)</f>
        <v>6.6405334258177573E-2</v>
      </c>
      <c r="I78" s="26"/>
      <c r="J78" s="26"/>
      <c r="K78" s="26"/>
      <c r="L78" s="26"/>
      <c r="M78" s="26"/>
      <c r="N78" s="26"/>
      <c r="S78" s="28"/>
    </row>
    <row r="79" spans="1:19">
      <c r="A79" s="12">
        <v>78</v>
      </c>
      <c r="B79" s="13">
        <v>41516</v>
      </c>
      <c r="C79" s="12">
        <f>LN('기초 데이터'!C80/'기초 데이터'!C79)</f>
        <v>-3.0451263670693948E-2</v>
      </c>
      <c r="D79" s="12">
        <f>LN('기초 데이터'!F80/'기초 데이터'!F79)</f>
        <v>5.0738279501249983E-2</v>
      </c>
      <c r="E79" s="12">
        <f>LN('기초 데이터'!I80/'기초 데이터'!I79)</f>
        <v>4.0641284207954048E-3</v>
      </c>
      <c r="F79" s="12">
        <f>LN('기초 데이터'!L80/'기초 데이터'!L79)</f>
        <v>-3.2153328534772853E-2</v>
      </c>
      <c r="I79" s="26"/>
      <c r="J79" s="26"/>
      <c r="K79" s="26"/>
      <c r="L79" s="26"/>
      <c r="M79" s="26"/>
      <c r="N79" s="26"/>
      <c r="S79" s="28"/>
    </row>
    <row r="80" spans="1:19">
      <c r="A80" s="12">
        <v>79</v>
      </c>
      <c r="B80" s="13">
        <v>41547</v>
      </c>
      <c r="C80" s="12">
        <f>LN('기초 데이터'!C81/'기초 데이터'!C80)</f>
        <v>2.6293500494121401E-2</v>
      </c>
      <c r="D80" s="12">
        <f>LN('기초 데이터'!F81/'기초 데이터'!F80)</f>
        <v>-4.902046850648626E-2</v>
      </c>
      <c r="E80" s="12">
        <f>LN('기초 데이터'!I81/'기초 데이터'!I80)</f>
        <v>-2.5560496979535219E-2</v>
      </c>
      <c r="F80" s="12">
        <f>LN('기초 데이터'!L81/'기초 데이터'!L80)</f>
        <v>6.0214331735596219E-2</v>
      </c>
      <c r="I80" s="36"/>
      <c r="J80" s="26"/>
      <c r="K80" s="26"/>
      <c r="L80" s="26"/>
      <c r="M80" s="26"/>
      <c r="N80" s="26"/>
      <c r="S80" s="28"/>
    </row>
    <row r="81" spans="1:19">
      <c r="A81" s="12">
        <v>80</v>
      </c>
      <c r="B81" s="13">
        <v>41578</v>
      </c>
      <c r="C81" s="12">
        <f>LN('기초 데이터'!C82/'기초 데이터'!C81)</f>
        <v>4.5266599370488637E-2</v>
      </c>
      <c r="D81" s="12">
        <f>LN('기초 데이터'!F82/'기초 데이터'!F81)</f>
        <v>-3.4385779426377304E-3</v>
      </c>
      <c r="E81" s="12">
        <f>LN('기초 데이터'!I82/'기초 데이터'!I81)</f>
        <v>0</v>
      </c>
      <c r="F81" s="12">
        <f>LN('기초 데이터'!L82/'기초 데이터'!L81)</f>
        <v>2.3912168063591192E-2</v>
      </c>
      <c r="H81" s="25"/>
      <c r="I81" s="26"/>
      <c r="J81" s="26"/>
      <c r="K81" s="26"/>
      <c r="L81" s="26"/>
      <c r="M81" s="26"/>
      <c r="N81" s="26"/>
      <c r="S81" s="28"/>
    </row>
    <row r="82" spans="1:19">
      <c r="A82" s="12">
        <v>81</v>
      </c>
      <c r="B82" s="13">
        <v>41607</v>
      </c>
      <c r="C82" s="12">
        <f>LN('기초 데이터'!C83/'기초 데이터'!C82)</f>
        <v>2.9206930454026218E-2</v>
      </c>
      <c r="D82" s="12">
        <f>LN('기초 데이터'!F83/'기초 데이터'!F82)</f>
        <v>-5.668882002995719E-2</v>
      </c>
      <c r="E82" s="12">
        <f>LN('기초 데이터'!I83/'기초 데이터'!I82)</f>
        <v>3.23102058144654E-3</v>
      </c>
      <c r="F82" s="12">
        <f>LN('기초 데이터'!L83/'기초 데이터'!L82)</f>
        <v>3.8801454741273264E-2</v>
      </c>
      <c r="H82" s="25"/>
      <c r="I82" s="26"/>
      <c r="J82" s="26"/>
      <c r="K82" s="26"/>
      <c r="L82" s="26"/>
      <c r="M82" s="26"/>
      <c r="N82" s="26"/>
      <c r="S82" s="28"/>
    </row>
    <row r="83" spans="1:19">
      <c r="A83" s="12">
        <v>82</v>
      </c>
      <c r="B83" s="13">
        <v>41638</v>
      </c>
      <c r="C83" s="12">
        <f>LN('기초 데이터'!C84/'기초 데이터'!C83)</f>
        <v>1.5459986664137627E-2</v>
      </c>
      <c r="D83" s="12">
        <f>LN('기초 데이터'!F84/'기초 데이터'!F83)</f>
        <v>-4.4990432896909544E-2</v>
      </c>
      <c r="E83" s="12">
        <f>LN('기초 데이터'!I84/'기초 데이터'!I83)</f>
        <v>-9.7245498919948572E-3</v>
      </c>
      <c r="F83" s="12">
        <f>LN('기초 데이터'!L84/'기초 데이터'!L83)</f>
        <v>1.3823492213151708E-2</v>
      </c>
      <c r="H83" s="25"/>
      <c r="I83" s="26"/>
      <c r="J83" s="26"/>
      <c r="K83" s="26"/>
      <c r="L83" s="26"/>
      <c r="M83" s="26"/>
      <c r="N83" s="26"/>
      <c r="S83" s="37"/>
    </row>
    <row r="84" spans="1:19">
      <c r="A84" s="12">
        <v>83</v>
      </c>
      <c r="B84" s="13">
        <v>41668</v>
      </c>
      <c r="C84" s="12">
        <f>LN('기초 데이터'!C85/'기초 데이터'!C84)</f>
        <v>-3.5831836710332604E-2</v>
      </c>
      <c r="D84" s="12">
        <f>LN('기초 데이터'!F85/'기초 데이터'!F84)</f>
        <v>5.9548406826619715E-2</v>
      </c>
      <c r="E84" s="12">
        <f>LN('기초 데이터'!I85/'기초 데이터'!I84)</f>
        <v>6.4935293105483115E-3</v>
      </c>
      <c r="F84" s="12">
        <f>LN('기초 데이터'!L85/'기초 데이터'!L84)</f>
        <v>-3.3125848225038015E-2</v>
      </c>
      <c r="H84" s="25"/>
      <c r="I84" s="26"/>
      <c r="J84" s="26"/>
      <c r="K84" s="26"/>
      <c r="L84" s="26"/>
      <c r="M84" s="26"/>
      <c r="N84" s="26"/>
      <c r="S84" s="28"/>
    </row>
    <row r="85" spans="1:19">
      <c r="A85" s="12">
        <v>84</v>
      </c>
      <c r="B85" s="13">
        <v>41698</v>
      </c>
      <c r="C85" s="12">
        <f>LN('기초 데이터'!C86/'기초 데이터'!C85)</f>
        <v>4.9179418081986469E-2</v>
      </c>
      <c r="D85" s="12">
        <f>LN('기초 데이터'!F86/'기초 데이터'!F85)</f>
        <v>4.1190996407004916E-2</v>
      </c>
      <c r="E85" s="12">
        <f>LN('기초 데이터'!I86/'기초 데이터'!I85)</f>
        <v>-1.162533436806819E-2</v>
      </c>
      <c r="F85" s="12">
        <f>LN('기초 데이터'!L86/'기초 데이터'!L85)</f>
        <v>5.4019949110260021E-2</v>
      </c>
      <c r="H85" s="25"/>
      <c r="I85" s="26"/>
      <c r="J85" s="26"/>
      <c r="K85" s="26"/>
      <c r="L85" s="26"/>
      <c r="M85" s="26"/>
      <c r="N85" s="26"/>
      <c r="S85" s="28"/>
    </row>
    <row r="86" spans="1:19">
      <c r="A86" s="12">
        <v>85</v>
      </c>
      <c r="B86" s="13">
        <v>41729</v>
      </c>
      <c r="C86" s="12">
        <f>LN('기초 데이터'!C87/'기초 데이터'!C86)</f>
        <v>3.8574920590114768E-3</v>
      </c>
      <c r="D86" s="12">
        <f>LN('기초 데이터'!F87/'기초 데이터'!F86)</f>
        <v>-3.1925650540469121E-2</v>
      </c>
      <c r="E86" s="12">
        <f>LN('기초 데이터'!I87/'기초 데이터'!I86)</f>
        <v>3.7348316056533041E-3</v>
      </c>
      <c r="F86" s="12">
        <f>LN('기초 데이터'!L87/'기초 데이터'!L86)</f>
        <v>-1.0091593383006378E-2</v>
      </c>
      <c r="H86" s="25"/>
      <c r="I86" s="26"/>
      <c r="J86" s="26"/>
      <c r="K86" s="26"/>
      <c r="L86" s="26"/>
      <c r="M86" s="26"/>
      <c r="N86" s="26"/>
      <c r="S86" s="28"/>
    </row>
    <row r="87" spans="1:19">
      <c r="A87" s="12">
        <v>86</v>
      </c>
      <c r="B87" s="13">
        <v>41759</v>
      </c>
      <c r="C87" s="12">
        <f>LN('기초 데이터'!C88/'기초 데이터'!C87)</f>
        <v>6.927449636921431E-3</v>
      </c>
      <c r="D87" s="12">
        <f>LN('기초 데이터'!F88/'기초 데이터'!F87)</f>
        <v>4.9227392314252268E-3</v>
      </c>
      <c r="E87" s="12">
        <f>LN('기초 데이터'!I88/'기초 데이터'!I87)</f>
        <v>-8.4230727291087493E-3</v>
      </c>
      <c r="F87" s="12">
        <f>LN('기초 데이터'!L88/'기초 데이터'!L87)</f>
        <v>-3.819665456186816E-2</v>
      </c>
      <c r="H87" s="25"/>
      <c r="I87" s="26"/>
      <c r="J87" s="26"/>
      <c r="K87" s="26"/>
      <c r="L87" s="26"/>
      <c r="M87" s="26"/>
      <c r="N87" s="26"/>
      <c r="S87" s="28"/>
    </row>
    <row r="88" spans="1:19">
      <c r="A88" s="12">
        <v>87</v>
      </c>
      <c r="B88" s="13">
        <v>41789</v>
      </c>
      <c r="C88" s="12">
        <f>LN('기초 데이터'!C89/'기초 데이터'!C88)</f>
        <v>2.2941240764470051E-2</v>
      </c>
      <c r="D88" s="12">
        <f>LN('기초 데이터'!F89/'기초 데이터'!F88)</f>
        <v>-3.098551585876836E-2</v>
      </c>
      <c r="E88" s="12">
        <f>LN('기초 데이터'!I89/'기초 데이터'!I88)</f>
        <v>8.8889474172459942E-3</v>
      </c>
      <c r="F88" s="12">
        <f>LN('기초 데이터'!L89/'기초 데이터'!L88)</f>
        <v>7.8278286202466962E-3</v>
      </c>
      <c r="H88" s="25"/>
      <c r="I88" s="26"/>
      <c r="J88" s="26"/>
      <c r="K88" s="26"/>
      <c r="L88" s="26"/>
      <c r="M88" s="26"/>
      <c r="N88" s="26"/>
      <c r="S88" s="28"/>
    </row>
    <row r="89" spans="1:19">
      <c r="A89" s="12">
        <v>88</v>
      </c>
      <c r="B89" s="13">
        <v>41820</v>
      </c>
      <c r="C89" s="12">
        <f>LN('기초 데이터'!C90/'기초 데이터'!C89)</f>
        <v>1.5654284658902808E-2</v>
      </c>
      <c r="D89" s="12">
        <f>LN('기초 데이터'!F90/'기초 데이터'!F89)</f>
        <v>6.1274043829273733E-2</v>
      </c>
      <c r="E89" s="12">
        <f>LN('기초 데이터'!I90/'기초 데이터'!I89)</f>
        <v>-9.8292389768876408E-3</v>
      </c>
      <c r="F89" s="12">
        <f>LN('기초 데이터'!L90/'기초 데이터'!L89)</f>
        <v>5.1377465929201963E-2</v>
      </c>
      <c r="H89" s="25"/>
      <c r="I89" s="26"/>
      <c r="J89" s="26"/>
      <c r="K89" s="26"/>
      <c r="L89" s="26"/>
      <c r="M89" s="26"/>
      <c r="N89" s="26"/>
      <c r="S89" s="28"/>
    </row>
    <row r="90" spans="1:19">
      <c r="A90" s="12">
        <v>89</v>
      </c>
      <c r="B90" s="13">
        <v>41851</v>
      </c>
      <c r="C90" s="12">
        <f>LN('기초 데이터'!C91/'기초 데이터'!C90)</f>
        <v>-1.3528664966475489E-2</v>
      </c>
      <c r="D90" s="12">
        <f>LN('기초 데이터'!F91/'기초 데이터'!F90)</f>
        <v>-3.6992644191219851E-2</v>
      </c>
      <c r="E90" s="12">
        <f>LN('기초 데이터'!I91/'기초 데이터'!I90)</f>
        <v>2.2326508779261362E-2</v>
      </c>
      <c r="F90" s="12">
        <f>LN('기초 데이터'!L91/'기초 데이터'!L90)</f>
        <v>-6.6285128755038267E-2</v>
      </c>
      <c r="H90" s="25"/>
      <c r="I90" s="26"/>
      <c r="J90" s="26"/>
      <c r="K90" s="26"/>
      <c r="L90" s="26"/>
      <c r="M90" s="26"/>
      <c r="N90" s="26"/>
      <c r="S90" s="28"/>
    </row>
    <row r="91" spans="1:19">
      <c r="A91" s="12">
        <v>90</v>
      </c>
      <c r="B91" s="13">
        <v>41880</v>
      </c>
      <c r="C91" s="12">
        <f>LN('기초 데이터'!C92/'기초 데이터'!C91)</f>
        <v>3.8704678716954384E-2</v>
      </c>
      <c r="D91" s="12">
        <f>LN('기초 데이터'!F92/'기초 데이터'!F91)</f>
        <v>3.8018245994724947E-3</v>
      </c>
      <c r="E91" s="12">
        <f>LN('기초 데이터'!I92/'기초 데이터'!I91)</f>
        <v>1.2797249601470644E-2</v>
      </c>
      <c r="F91" s="12">
        <f>LN('기초 데이터'!L92/'기초 데이터'!L91)</f>
        <v>4.7165712171791531E-2</v>
      </c>
      <c r="H91" s="25"/>
      <c r="I91" s="26"/>
      <c r="J91" s="26"/>
      <c r="K91" s="26"/>
      <c r="L91" s="26"/>
      <c r="M91" s="26"/>
      <c r="N91" s="26"/>
      <c r="S91" s="28"/>
    </row>
    <row r="92" spans="1:19">
      <c r="A92" s="12">
        <v>91</v>
      </c>
      <c r="B92" s="13">
        <v>41912</v>
      </c>
      <c r="C92" s="12">
        <f>LN('기초 데이터'!C93/'기초 데이터'!C92)</f>
        <v>-1.8555833743868575E-2</v>
      </c>
      <c r="D92" s="12">
        <f>LN('기초 데이터'!F93/'기초 데이터'!F92)</f>
        <v>-6.3752996275132576E-2</v>
      </c>
      <c r="E92" s="12">
        <f>LN('기초 데이터'!I93/'기초 데이터'!I92)</f>
        <v>3.7874876740155938E-2</v>
      </c>
      <c r="F92" s="12">
        <f>LN('기초 데이터'!L93/'기초 데이터'!L92)</f>
        <v>-6.3852414764172638E-2</v>
      </c>
      <c r="H92" s="25"/>
      <c r="I92" s="26"/>
      <c r="J92" s="26"/>
      <c r="K92" s="26"/>
      <c r="L92" s="26"/>
      <c r="M92" s="26"/>
      <c r="N92" s="26"/>
      <c r="S92" s="28"/>
    </row>
    <row r="93" spans="1:19">
      <c r="A93" s="12">
        <v>92</v>
      </c>
      <c r="B93" s="13">
        <v>41943</v>
      </c>
      <c r="C93" s="12">
        <f>LN('기초 데이터'!C94/'기초 데이터'!C93)</f>
        <v>2.3277864537536188E-2</v>
      </c>
      <c r="D93" s="12">
        <f>LN('기초 데이터'!F94/'기초 데이터'!F93)</f>
        <v>-3.1024465768214438E-2</v>
      </c>
      <c r="E93" s="12">
        <f>LN('기초 데이터'!I94/'기초 데이터'!I93)</f>
        <v>9.5736153317142209E-3</v>
      </c>
      <c r="F93" s="12">
        <f>LN('기초 데이터'!L94/'기초 데이터'!L93)</f>
        <v>6.3852414764172666E-2</v>
      </c>
      <c r="H93" s="25"/>
      <c r="I93" s="26"/>
      <c r="J93" s="26"/>
      <c r="K93" s="26"/>
      <c r="L93" s="26"/>
      <c r="M93" s="26"/>
      <c r="N93" s="26"/>
      <c r="S93" s="28"/>
    </row>
    <row r="94" spans="1:19">
      <c r="A94" s="12">
        <v>93</v>
      </c>
      <c r="B94" s="13">
        <v>41971</v>
      </c>
      <c r="C94" s="12">
        <f>LN('기초 데이터'!C95/'기초 데이터'!C94)</f>
        <v>2.7101399420258666E-2</v>
      </c>
      <c r="D94" s="12">
        <f>LN('기초 데이터'!F95/'기초 데이터'!F94)</f>
        <v>-4.8939013010656507E-3</v>
      </c>
      <c r="E94" s="12">
        <f>LN('기초 데이터'!I95/'기초 데이터'!I94)</f>
        <v>1.632338649652806E-2</v>
      </c>
      <c r="F94" s="12">
        <f>LN('기초 데이터'!L95/'기초 데이터'!L94)</f>
        <v>1.1146839310665947E-3</v>
      </c>
      <c r="H94" s="25"/>
      <c r="I94" s="26"/>
      <c r="J94" s="26"/>
      <c r="K94" s="26"/>
      <c r="L94" s="26"/>
      <c r="M94" s="26"/>
      <c r="N94" s="26"/>
      <c r="S94" s="28"/>
    </row>
    <row r="95" spans="1:19">
      <c r="A95" s="12">
        <v>94</v>
      </c>
      <c r="B95" s="13">
        <v>42003</v>
      </c>
      <c r="C95" s="12">
        <f>LN('기초 데이터'!C96/'기초 데이터'!C95)</f>
        <v>1.9286409064056863E-3</v>
      </c>
      <c r="D95" s="12">
        <f>LN('기초 데이터'!F96/'기초 데이터'!F95)</f>
        <v>2.7189216096288653E-2</v>
      </c>
      <c r="E95" s="12">
        <f>LN('기초 데이터'!I96/'기초 데이터'!I95)</f>
        <v>1.7736951474786138E-2</v>
      </c>
      <c r="F95" s="12">
        <f>LN('기초 데이터'!L96/'기초 데이터'!L95)</f>
        <v>3.0800223974189727E-2</v>
      </c>
      <c r="H95" s="25"/>
      <c r="I95" s="26"/>
      <c r="J95" s="26"/>
      <c r="K95" s="26"/>
      <c r="L95" s="26"/>
      <c r="M95" s="26"/>
      <c r="N95" s="26"/>
      <c r="S95" s="28"/>
    </row>
    <row r="96" spans="1:19">
      <c r="A96" s="12">
        <v>95</v>
      </c>
      <c r="B96" s="13">
        <v>42034</v>
      </c>
      <c r="C96" s="12">
        <f>LN('기초 데이터'!C97/'기초 데이터'!C96)</f>
        <v>-4.004957294031794E-2</v>
      </c>
      <c r="D96" s="12">
        <f>LN('기초 데이터'!F97/'기초 데이터'!F96)</f>
        <v>6.9166467529397577E-2</v>
      </c>
      <c r="E96" s="12">
        <f>LN('기초 데이터'!I97/'기초 데이터'!I96)</f>
        <v>5.0602390217782567E-2</v>
      </c>
      <c r="F96" s="12">
        <f>LN('기초 데이터'!L97/'기초 데이터'!L96)</f>
        <v>-3.9320435592574775E-2</v>
      </c>
      <c r="H96" s="25"/>
      <c r="I96" s="26"/>
      <c r="J96" s="26"/>
      <c r="K96" s="26"/>
      <c r="L96" s="26"/>
      <c r="M96" s="26"/>
      <c r="N96" s="26"/>
      <c r="S96" s="28"/>
    </row>
    <row r="97" spans="1:19">
      <c r="A97" s="12">
        <v>96</v>
      </c>
      <c r="B97" s="13">
        <v>42062</v>
      </c>
      <c r="C97" s="12">
        <f>LN('기초 데이터'!C98/'기초 데이터'!C97)</f>
        <v>5.4681881056980214E-2</v>
      </c>
      <c r="D97" s="12">
        <f>LN('기초 데이터'!F98/'기초 데이터'!F97)</f>
        <v>-6.0867664714702556E-2</v>
      </c>
      <c r="E97" s="12">
        <f>LN('기초 데이터'!I98/'기초 데이터'!I97)</f>
        <v>2.7816429618767705E-3</v>
      </c>
      <c r="F97" s="12">
        <f>LN('기초 데이터'!L98/'기초 데이터'!L97)</f>
        <v>5.7763243857954741E-2</v>
      </c>
      <c r="H97" s="25"/>
      <c r="I97" s="26"/>
      <c r="J97" s="26"/>
      <c r="K97" s="26"/>
      <c r="L97" s="26"/>
      <c r="M97" s="26"/>
      <c r="N97" s="26"/>
      <c r="S97" s="28"/>
    </row>
    <row r="98" spans="1:19">
      <c r="A98" s="12">
        <v>97</v>
      </c>
      <c r="B98" s="13">
        <v>42094</v>
      </c>
      <c r="C98" s="12">
        <f>LN('기초 데이터'!C99/'기초 데이터'!C98)</f>
        <v>-2.0284087525897665E-2</v>
      </c>
      <c r="D98" s="12">
        <f>LN('기초 데이터'!F99/'기초 데이터'!F98)</f>
        <v>-2.1757015207510541E-2</v>
      </c>
      <c r="E98" s="12">
        <f>LN('기초 데이터'!I99/'기초 데이터'!I98)</f>
        <v>2.7398974188114347E-2</v>
      </c>
      <c r="F98" s="12">
        <f>LN('기초 데이터'!L99/'기초 데이터'!L98)</f>
        <v>1.4497115608063944E-2</v>
      </c>
      <c r="H98" s="25"/>
      <c r="I98" s="26"/>
      <c r="J98" s="26"/>
      <c r="K98" s="26"/>
      <c r="L98" s="26"/>
      <c r="M98" s="26"/>
      <c r="N98" s="26"/>
      <c r="S98" s="28"/>
    </row>
    <row r="99" spans="1:19">
      <c r="A99" s="12">
        <v>98</v>
      </c>
      <c r="B99" s="13">
        <v>42124</v>
      </c>
      <c r="C99" s="12">
        <f>LN('기초 데이터'!C100/'기초 데이터'!C99)</f>
        <v>9.7858044286780604E-3</v>
      </c>
      <c r="D99" s="12">
        <f>LN('기초 데이터'!F100/'기초 데이터'!F99)</f>
        <v>-1.6730510660774077E-3</v>
      </c>
      <c r="E99" s="12">
        <f>LN('기초 데이터'!I100/'기초 데이터'!I99)</f>
        <v>-3.8973639431403001E-2</v>
      </c>
      <c r="F99" s="12">
        <f>LN('기초 데이터'!L100/'기초 데이터'!L99)</f>
        <v>-2.5983950148806674E-2</v>
      </c>
      <c r="H99" s="25"/>
      <c r="I99" s="26"/>
      <c r="J99" s="26"/>
      <c r="K99" s="26"/>
      <c r="L99" s="26"/>
      <c r="M99" s="26"/>
      <c r="N99" s="26"/>
      <c r="S99" s="28"/>
    </row>
    <row r="100" spans="1:19">
      <c r="A100" s="12">
        <v>99</v>
      </c>
      <c r="B100" s="13">
        <v>42153</v>
      </c>
      <c r="C100" s="12">
        <f>LN('기초 데이터'!C101/'기초 데이터'!C100)</f>
        <v>1.2774244250372489E-2</v>
      </c>
      <c r="D100" s="12">
        <f>LN('기초 데이터'!F101/'기초 데이터'!F100)</f>
        <v>5.5367720651318926E-3</v>
      </c>
      <c r="E100" s="12">
        <f>LN('기초 데이터'!I101/'기초 데이터'!I100)</f>
        <v>2.1839263855171449E-2</v>
      </c>
      <c r="F100" s="12">
        <f>LN('기초 데이터'!L101/'기초 데이터'!L100)</f>
        <v>2.2117031610804378E-2</v>
      </c>
      <c r="H100" s="25"/>
      <c r="I100" s="26"/>
      <c r="J100" s="26"/>
      <c r="K100" s="26"/>
      <c r="L100" s="26"/>
      <c r="M100" s="26"/>
      <c r="N100" s="26"/>
      <c r="S100" s="28"/>
    </row>
    <row r="101" spans="1:19">
      <c r="A101" s="12">
        <v>100</v>
      </c>
      <c r="B101" s="13">
        <v>42185</v>
      </c>
      <c r="C101" s="12">
        <f>LN('기초 데이터'!C102/'기초 데이터'!C101)</f>
        <v>-2.5373672345635041E-2</v>
      </c>
      <c r="D101" s="12">
        <f>LN('기초 데이터'!F102/'기초 데이터'!F101)</f>
        <v>-1.5278258948218836E-2</v>
      </c>
      <c r="E101" s="12">
        <f>LN('기초 데이터'!I102/'기초 데이터'!I101)</f>
        <v>-1.7033487685577612E-2</v>
      </c>
      <c r="F101" s="12">
        <f>LN('기초 데이터'!L102/'기초 데이터'!L101)</f>
        <v>7.7990345059506284E-3</v>
      </c>
      <c r="H101" s="25"/>
      <c r="I101" s="26"/>
      <c r="J101" s="26"/>
      <c r="K101" s="26"/>
      <c r="L101" s="26"/>
      <c r="M101" s="26"/>
      <c r="N101" s="26"/>
      <c r="S101" s="28"/>
    </row>
    <row r="102" spans="1:19">
      <c r="A102" s="12">
        <v>101</v>
      </c>
      <c r="B102" s="13">
        <v>42216</v>
      </c>
      <c r="C102" s="12">
        <f>LN('기초 데이터'!C103/'기초 데이터'!C102)</f>
        <v>2.2337904906522432E-2</v>
      </c>
      <c r="D102" s="12">
        <f>LN('기초 데이터'!F103/'기초 데이터'!F102)</f>
        <v>-6.8503536749991323E-2</v>
      </c>
      <c r="E102" s="12">
        <f>LN('기초 데이터'!I103/'기초 데이터'!I102)</f>
        <v>1.58544739903453E-2</v>
      </c>
      <c r="F102" s="12">
        <f>LN('기초 데이터'!L103/'기초 데이터'!L102)</f>
        <v>-1.5334010403257672E-2</v>
      </c>
      <c r="H102" s="25"/>
      <c r="I102" s="26"/>
      <c r="J102" s="26"/>
      <c r="K102" s="26"/>
      <c r="L102" s="26"/>
      <c r="M102" s="26"/>
      <c r="N102" s="26"/>
      <c r="S102" s="28"/>
    </row>
    <row r="103" spans="1:19">
      <c r="A103" s="12">
        <v>102</v>
      </c>
      <c r="B103" s="13">
        <v>42247</v>
      </c>
      <c r="C103" s="12">
        <f>LN('기초 데이터'!C104/'기초 데이터'!C103)</f>
        <v>-6.2886679528597972E-2</v>
      </c>
      <c r="D103" s="12">
        <f>LN('기초 데이터'!F104/'기초 데이터'!F103)</f>
        <v>3.6401679887959441E-2</v>
      </c>
      <c r="E103" s="12">
        <f>LN('기초 데이터'!I104/'기초 데이터'!I103)</f>
        <v>-1.4656629966106036E-2</v>
      </c>
      <c r="F103" s="12">
        <f>LN('기초 데이터'!L104/'기초 데이터'!L103)</f>
        <v>-6.5189350968549498E-2</v>
      </c>
      <c r="H103" s="25"/>
      <c r="I103" s="26"/>
      <c r="J103" s="26"/>
      <c r="K103" s="26"/>
      <c r="L103" s="26"/>
      <c r="M103" s="26"/>
      <c r="N103" s="26"/>
      <c r="S103" s="28"/>
    </row>
    <row r="104" spans="1:19">
      <c r="A104" s="12">
        <v>103</v>
      </c>
      <c r="B104" s="13">
        <v>42277</v>
      </c>
      <c r="C104" s="12">
        <f>LN('기초 데이터'!C105/'기초 데이터'!C104)</f>
        <v>-3.1032544113434337E-2</v>
      </c>
      <c r="D104" s="12">
        <f>LN('기초 데이터'!F105/'기초 데이터'!F104)</f>
        <v>-1.8175574528153927E-2</v>
      </c>
      <c r="E104" s="12">
        <f>LN('기초 데이터'!I105/'기초 데이터'!I104)</f>
        <v>1.5948966698159737E-3</v>
      </c>
      <c r="F104" s="12">
        <f>LN('기초 데이터'!L105/'기초 데이터'!L104)</f>
        <v>-5.3488684950986236E-2</v>
      </c>
      <c r="H104" s="25"/>
      <c r="I104" s="26"/>
      <c r="J104" s="26"/>
      <c r="K104" s="26"/>
      <c r="L104" s="26"/>
      <c r="M104" s="26"/>
      <c r="N104" s="26"/>
      <c r="S104" s="28"/>
    </row>
    <row r="105" spans="1:19">
      <c r="A105" s="12">
        <v>104</v>
      </c>
      <c r="B105" s="13">
        <v>42307</v>
      </c>
      <c r="C105" s="12">
        <f>LN('기초 데이터'!C106/'기초 데이터'!C105)</f>
        <v>8.163505511759922E-2</v>
      </c>
      <c r="D105" s="12">
        <f>LN('기초 데이터'!F106/'기초 데이터'!F105)</f>
        <v>2.2576828652867632E-2</v>
      </c>
      <c r="E105" s="12">
        <f>LN('기초 데이터'!I106/'기초 데이터'!I105)</f>
        <v>5.9583095836306249E-3</v>
      </c>
      <c r="F105" s="12">
        <f>LN('기초 데이터'!L106/'기초 데이터'!L105)</f>
        <v>5.4703224876461919E-2</v>
      </c>
      <c r="H105" s="25"/>
      <c r="I105" s="26"/>
      <c r="J105" s="26"/>
      <c r="K105" s="26"/>
      <c r="L105" s="26"/>
      <c r="M105" s="26"/>
      <c r="N105" s="26"/>
      <c r="S105" s="28"/>
    </row>
    <row r="106" spans="1:19">
      <c r="A106" s="12">
        <v>105</v>
      </c>
      <c r="B106" s="13">
        <v>42338</v>
      </c>
      <c r="C106" s="12">
        <f>LN('기초 데이터'!C107/'기초 데이터'!C106)</f>
        <v>3.6484126687360103E-3</v>
      </c>
      <c r="D106" s="12">
        <f>LN('기초 데이터'!F107/'기초 데이터'!F106)</f>
        <v>-6.9908203358639606E-2</v>
      </c>
      <c r="E106" s="12">
        <f>LN('기초 데이터'!I107/'기초 데이터'!I106)</f>
        <v>3.2342581337083398E-2</v>
      </c>
      <c r="F106" s="12">
        <f>LN('기초 데이터'!L107/'기초 데이터'!L106)</f>
        <v>3.2079188173987687E-2</v>
      </c>
      <c r="H106" s="25"/>
      <c r="I106" s="26"/>
      <c r="J106" s="26"/>
      <c r="K106" s="26"/>
      <c r="L106" s="26"/>
      <c r="M106" s="26"/>
      <c r="N106" s="26"/>
      <c r="S106" s="28"/>
    </row>
    <row r="107" spans="1:19">
      <c r="A107" s="12">
        <v>106</v>
      </c>
      <c r="B107" s="13">
        <v>42368</v>
      </c>
      <c r="C107" s="12">
        <f>LN('기초 데이터'!C108/'기초 데이터'!C107)</f>
        <v>-1.3313592049482422E-2</v>
      </c>
      <c r="D107" s="12">
        <f>LN('기초 데이터'!F108/'기초 데이터'!F107)</f>
        <v>-4.9178814569802581E-3</v>
      </c>
      <c r="E107" s="12">
        <f>LN('기초 데이터'!I108/'기초 데이터'!I107)</f>
        <v>-2.170627858186306E-2</v>
      </c>
      <c r="F107" s="12">
        <f>LN('기초 데이터'!L108/'기초 데이터'!L107)</f>
        <v>-4.3414212316783087E-2</v>
      </c>
      <c r="H107" s="25"/>
      <c r="I107" s="26"/>
      <c r="J107" s="26"/>
      <c r="K107" s="26"/>
      <c r="L107" s="26"/>
      <c r="M107" s="26"/>
      <c r="N107" s="26"/>
      <c r="S107" s="28"/>
    </row>
    <row r="108" spans="1:19">
      <c r="A108" s="12">
        <v>107</v>
      </c>
      <c r="B108" s="13">
        <v>42398</v>
      </c>
      <c r="C108" s="12">
        <f>LN('기초 데이터'!C109/'기초 데이터'!C108)</f>
        <v>-6.1122487682228367E-2</v>
      </c>
      <c r="D108" s="12">
        <f>LN('기초 데이터'!F109/'기초 데이터'!F108)</f>
        <v>5.3091125161541686E-2</v>
      </c>
      <c r="E108" s="12">
        <f>LN('기초 데이터'!I109/'기초 데이터'!I108)</f>
        <v>1.3234914867122331E-2</v>
      </c>
      <c r="F108" s="12">
        <f>LN('기초 데이터'!L109/'기초 데이터'!L108)</f>
        <v>-0.10220870075660007</v>
      </c>
      <c r="H108" s="25"/>
      <c r="I108" s="26"/>
      <c r="J108" s="26"/>
      <c r="K108" s="26"/>
      <c r="L108" s="26"/>
      <c r="M108" s="26"/>
      <c r="N108" s="26"/>
      <c r="S108" s="28"/>
    </row>
    <row r="109" spans="1:19">
      <c r="A109" s="12">
        <v>108</v>
      </c>
      <c r="B109" s="13">
        <v>42429</v>
      </c>
      <c r="C109" s="12">
        <f>LN('기초 데이터'!C110/'기초 데이터'!C109)</f>
        <v>-8.262756099105612E-4</v>
      </c>
      <c r="D109" s="12">
        <f>LN('기초 데이터'!F110/'기초 데이터'!F109)</f>
        <v>0.10373226230126197</v>
      </c>
      <c r="E109" s="12">
        <f>LN('기초 데이터'!I110/'기초 데이터'!I109)</f>
        <v>-1.4411154955687348E-2</v>
      </c>
      <c r="F109" s="12">
        <f>LN('기초 데이터'!L110/'기초 데이터'!L109)</f>
        <v>-2.236376059698814E-3</v>
      </c>
      <c r="H109" s="25"/>
      <c r="I109" s="26"/>
      <c r="J109" s="26"/>
      <c r="K109" s="26"/>
      <c r="L109" s="26"/>
      <c r="M109" s="26"/>
      <c r="N109" s="26"/>
      <c r="S109" s="28"/>
    </row>
    <row r="110" spans="1:19">
      <c r="A110" s="12">
        <v>109</v>
      </c>
      <c r="B110" s="13">
        <v>42460</v>
      </c>
      <c r="C110" s="12">
        <f>LN('기초 데이터'!C111/'기초 데이터'!C110)</f>
        <v>5.9955810876510321E-2</v>
      </c>
      <c r="D110" s="12">
        <f>LN('기초 데이터'!F111/'기초 데이터'!F110)</f>
        <v>-8.4645841438823494E-3</v>
      </c>
      <c r="E110" s="12">
        <f>LN('기초 데이터'!I111/'기초 데이터'!I110)</f>
        <v>-3.7981779105258684E-2</v>
      </c>
      <c r="F110" s="12">
        <f>LN('기초 데이터'!L111/'기초 데이터'!L110)</f>
        <v>7.4087112818647077E-2</v>
      </c>
      <c r="H110" s="25"/>
      <c r="I110" s="26"/>
      <c r="J110" s="26"/>
      <c r="K110" s="26"/>
      <c r="L110" s="26"/>
      <c r="M110" s="26"/>
      <c r="N110" s="26"/>
      <c r="S110" s="28"/>
    </row>
    <row r="111" spans="1:19">
      <c r="A111" s="12">
        <v>110</v>
      </c>
      <c r="B111" s="13">
        <v>42489</v>
      </c>
      <c r="C111" s="12">
        <f>LN('기초 데이터'!C112/'기초 데이터'!C111)</f>
        <v>3.9334759955103734E-3</v>
      </c>
      <c r="D111" s="12">
        <f>LN('기초 데이터'!F112/'기초 데이터'!F111)</f>
        <v>4.9825880281631076E-2</v>
      </c>
      <c r="E111" s="12">
        <f>LN('기초 데이터'!I112/'기초 데이터'!I111)</f>
        <v>-1.8092598786155926E-2</v>
      </c>
      <c r="F111" s="12">
        <f>LN('기초 데이터'!L112/'기초 데이터'!L111)</f>
        <v>1.6584128015535261E-2</v>
      </c>
      <c r="H111" s="25"/>
      <c r="I111" s="26"/>
      <c r="J111" s="26"/>
      <c r="K111" s="26"/>
      <c r="L111" s="26"/>
      <c r="M111" s="26"/>
      <c r="N111" s="26"/>
      <c r="S111" s="28"/>
    </row>
    <row r="112" spans="1:19">
      <c r="A112" s="12">
        <v>111</v>
      </c>
      <c r="B112" s="13">
        <v>42521</v>
      </c>
      <c r="C112" s="12">
        <f>LN('기초 데이터'!C113/'기초 데이터'!C112)</f>
        <v>1.6868506761479635E-2</v>
      </c>
      <c r="D112" s="12">
        <f>LN('기초 데이터'!F113/'기초 데이터'!F112)</f>
        <v>-6.3347695204962987E-2</v>
      </c>
      <c r="E112" s="12">
        <f>LN('기초 데이터'!I113/'기초 데이터'!I112)</f>
        <v>3.0243416568668597E-2</v>
      </c>
      <c r="F112" s="12">
        <f>LN('기초 데이터'!L113/'기초 데이터'!L112)</f>
        <v>2.2156700300895234E-2</v>
      </c>
      <c r="H112" s="25"/>
      <c r="I112" s="26"/>
      <c r="J112" s="26"/>
      <c r="K112" s="26"/>
      <c r="L112" s="26"/>
      <c r="M112" s="26"/>
      <c r="N112" s="26"/>
      <c r="S112" s="28"/>
    </row>
    <row r="113" spans="1:19">
      <c r="A113" s="12">
        <v>112</v>
      </c>
      <c r="B113" s="13">
        <v>42551</v>
      </c>
      <c r="C113" s="12">
        <f>LN('기초 데이터'!C114/'기초 데이터'!C113)</f>
        <v>-1.717066147331361E-3</v>
      </c>
      <c r="D113" s="12">
        <f>LN('기초 데이터'!F114/'기초 데이터'!F113)</f>
        <v>8.5897827129422705E-2</v>
      </c>
      <c r="E113" s="12">
        <f>LN('기초 데이터'!I114/'기초 데이터'!I113)</f>
        <v>0</v>
      </c>
      <c r="F113" s="12">
        <f>LN('기초 데이터'!L114/'기초 데이터'!L113)</f>
        <v>-1.7392816810519782E-4</v>
      </c>
      <c r="H113" s="25"/>
      <c r="I113" s="26"/>
      <c r="J113" s="26"/>
      <c r="K113" s="26"/>
      <c r="L113" s="26"/>
      <c r="M113" s="26"/>
      <c r="N113" s="26"/>
      <c r="S113" s="28"/>
    </row>
    <row r="114" spans="1:19">
      <c r="A114" s="12">
        <v>113</v>
      </c>
      <c r="B114" s="13">
        <v>42580</v>
      </c>
      <c r="C114" s="12">
        <f>LN('기초 데이터'!C115/'기초 데이터'!C114)</f>
        <v>3.5821926675272162E-2</v>
      </c>
      <c r="D114" s="12">
        <f>LN('기초 데이터'!F115/'기초 데이터'!F114)</f>
        <v>1.9652227690346132E-2</v>
      </c>
      <c r="E114" s="12">
        <f>LN('기초 데이터'!I115/'기초 데이터'!I114)</f>
        <v>-6.8673265240126041E-3</v>
      </c>
      <c r="F114" s="12">
        <f>LN('기초 데이터'!L115/'기초 데이터'!L114)</f>
        <v>5.1610690524503906E-2</v>
      </c>
      <c r="H114" s="25"/>
      <c r="I114" s="26"/>
      <c r="J114" s="26"/>
      <c r="K114" s="26"/>
      <c r="L114" s="26"/>
      <c r="M114" s="26"/>
      <c r="N114" s="26"/>
      <c r="S114" s="28"/>
    </row>
    <row r="115" spans="1:19">
      <c r="A115" s="12">
        <v>114</v>
      </c>
      <c r="B115" s="13">
        <v>42613</v>
      </c>
      <c r="C115" s="12">
        <f>LN('기초 데이터'!C116/'기초 데이터'!C115)</f>
        <v>1.1967780484817782E-3</v>
      </c>
      <c r="D115" s="12">
        <f>LN('기초 데이터'!F116/'기초 데이터'!F115)</f>
        <v>-3.3105166899590963E-2</v>
      </c>
      <c r="E115" s="12">
        <f>LN('기초 데이터'!I116/'기초 데이터'!I115)</f>
        <v>6.0618492351957589E-3</v>
      </c>
      <c r="F115" s="12">
        <f>LN('기초 데이터'!L116/'기초 데이터'!L115)</f>
        <v>1.7683637230383027E-2</v>
      </c>
      <c r="H115" s="25"/>
      <c r="I115" s="26"/>
      <c r="J115" s="26"/>
      <c r="K115" s="26"/>
      <c r="L115" s="26"/>
      <c r="M115" s="26"/>
      <c r="N115" s="26"/>
      <c r="S115" s="28"/>
    </row>
    <row r="116" spans="1:19">
      <c r="A116" s="12">
        <v>115</v>
      </c>
      <c r="B116" s="13">
        <v>42643</v>
      </c>
      <c r="C116" s="12">
        <f>LN('기초 데이터'!C117/'기초 데이터'!C116)</f>
        <v>-4.9806411760277619E-3</v>
      </c>
      <c r="D116" s="12">
        <f>LN('기초 데이터'!F117/'기초 데이터'!F116)</f>
        <v>6.868487987805468E-3</v>
      </c>
      <c r="E116" s="12">
        <f>LN('기초 데이터'!I117/'기초 데이터'!I116)</f>
        <v>-5.6565807392741085E-3</v>
      </c>
      <c r="F116" s="12">
        <f>LN('기초 데이터'!L117/'기초 데이터'!L116)</f>
        <v>7.9211536060706106E-3</v>
      </c>
      <c r="H116" s="25"/>
      <c r="I116" s="26"/>
      <c r="J116" s="26"/>
      <c r="K116" s="26"/>
      <c r="L116" s="26"/>
      <c r="M116" s="26"/>
      <c r="N116" s="26"/>
      <c r="S116" s="28"/>
    </row>
    <row r="117" spans="1:19">
      <c r="A117" s="12">
        <v>116</v>
      </c>
      <c r="B117" s="13">
        <v>42674</v>
      </c>
      <c r="C117" s="12">
        <f>LN('기초 데이터'!C118/'기초 데이터'!C117)</f>
        <v>-1.7489078154213942E-2</v>
      </c>
      <c r="D117" s="12">
        <f>LN('기초 데이터'!F118/'기초 데이터'!F117)</f>
        <v>-2.9891554190775743E-2</v>
      </c>
      <c r="E117" s="12">
        <f>LN('기초 데이터'!I118/'기초 데이터'!I117)</f>
        <v>2.9543066724120933E-2</v>
      </c>
      <c r="F117" s="12">
        <f>LN('기초 데이터'!L118/'기초 데이터'!L117)</f>
        <v>-4.7060720980916473E-2</v>
      </c>
      <c r="H117" s="25"/>
      <c r="I117" s="26"/>
      <c r="J117" s="26"/>
      <c r="K117" s="26"/>
      <c r="L117" s="26"/>
      <c r="M117" s="26"/>
      <c r="N117" s="26"/>
      <c r="S117" s="28"/>
    </row>
    <row r="118" spans="1:19">
      <c r="A118" s="12">
        <v>117</v>
      </c>
      <c r="B118" s="13">
        <v>42704</v>
      </c>
      <c r="C118" s="12">
        <f>LN('기초 데이터'!C119/'기초 데이터'!C118)</f>
        <v>3.6176074254831755E-2</v>
      </c>
      <c r="D118" s="12">
        <f>LN('기초 데이터'!F119/'기초 데이터'!F118)</f>
        <v>-8.7264886985991844E-2</v>
      </c>
      <c r="E118" s="12">
        <f>LN('기초 데이터'!I119/'기초 데이터'!I118)</f>
        <v>3.2129723276324601E-2</v>
      </c>
      <c r="F118" s="12">
        <f>LN('기초 데이터'!L119/'기초 데이터'!L118)</f>
        <v>0.10493004327104652</v>
      </c>
      <c r="H118" s="25"/>
      <c r="I118" s="26"/>
      <c r="J118" s="26"/>
      <c r="K118" s="26"/>
      <c r="L118" s="26"/>
      <c r="M118" s="26"/>
      <c r="N118" s="26"/>
      <c r="S118" s="28"/>
    </row>
    <row r="119" spans="1:19">
      <c r="A119" s="12">
        <v>118</v>
      </c>
      <c r="B119" s="13">
        <v>42733</v>
      </c>
      <c r="C119" s="12">
        <f>LN('기초 데이터'!C120/'기초 데이터'!C119)</f>
        <v>1.7854003362361513E-2</v>
      </c>
      <c r="D119" s="12">
        <f>LN('기초 데이터'!F120/'기초 데이터'!F119)</f>
        <v>-1.3150973175622629E-2</v>
      </c>
      <c r="E119" s="12">
        <f>LN('기초 데이터'!I120/'기초 데이터'!I119)</f>
        <v>1.0987039866428624E-2</v>
      </c>
      <c r="F119" s="12">
        <f>LN('기초 데이터'!L120/'기초 데이터'!L119)</f>
        <v>2.8168766351462409E-2</v>
      </c>
      <c r="H119" s="25"/>
      <c r="I119" s="26"/>
      <c r="J119" s="26"/>
      <c r="K119" s="26"/>
      <c r="L119" s="26"/>
      <c r="M119" s="26"/>
      <c r="N119" s="26"/>
      <c r="S119" s="28"/>
    </row>
    <row r="120" spans="1:19">
      <c r="A120" s="12">
        <v>119</v>
      </c>
      <c r="B120" s="13">
        <v>42766</v>
      </c>
      <c r="C120" s="12">
        <f>LN('기초 데이터'!C121/'기초 데이터'!C120)</f>
        <v>1.4074765407043024E-2</v>
      </c>
      <c r="D120" s="12">
        <f>LN('기초 데이터'!F121/'기초 데이터'!F120)</f>
        <v>4.6590076402334195E-2</v>
      </c>
      <c r="E120" s="12">
        <f>LN('기초 데이터'!I121/'기초 데이터'!I120)</f>
        <v>-3.0995402610408569E-2</v>
      </c>
      <c r="F120" s="12">
        <f>LN('기초 데이터'!L121/'기초 데이터'!L120)</f>
        <v>-1.0347377124265253E-3</v>
      </c>
      <c r="H120" s="25"/>
      <c r="I120" s="26"/>
      <c r="J120" s="26"/>
      <c r="K120" s="26"/>
      <c r="L120" s="26"/>
      <c r="M120" s="26"/>
      <c r="N120" s="26"/>
      <c r="S120" s="28"/>
    </row>
    <row r="121" spans="1:19">
      <c r="A121" s="12">
        <v>120</v>
      </c>
      <c r="B121" s="13">
        <v>42794</v>
      </c>
      <c r="C121" s="12">
        <f>LN('기초 데이터'!C122/'기초 데이터'!C121)</f>
        <v>3.8539252162532206E-2</v>
      </c>
      <c r="D121" s="12">
        <f>LN('기초 데이터'!F122/'기초 데이터'!F121)</f>
        <v>3.1351064097650844E-2</v>
      </c>
      <c r="E121" s="12">
        <f>LN('기초 데이터'!I122/'기초 데이터'!I121)</f>
        <v>1.4660756417384718E-2</v>
      </c>
      <c r="F121" s="12">
        <f>LN('기초 데이터'!L122/'기초 데이터'!L121)</f>
        <v>1.9116559734405909E-2</v>
      </c>
      <c r="H121" s="25"/>
      <c r="I121" s="26"/>
      <c r="J121" s="26"/>
      <c r="K121" s="26"/>
      <c r="L121" s="26"/>
      <c r="M121" s="26"/>
      <c r="N121" s="26"/>
      <c r="S121" s="28"/>
    </row>
    <row r="122" spans="1:19">
      <c r="H122" s="25"/>
      <c r="I122" s="26"/>
      <c r="J122" s="26"/>
      <c r="K122" s="26"/>
      <c r="L122" s="26"/>
      <c r="M122" s="26"/>
      <c r="N122" s="26"/>
      <c r="S122" s="28"/>
    </row>
    <row r="123" spans="1:19">
      <c r="A123" s="14" t="s">
        <v>13</v>
      </c>
      <c r="B123" s="14"/>
      <c r="C123" s="14">
        <f>AVERAGE(C2:C121)</f>
        <v>4.3129836399012382E-3</v>
      </c>
      <c r="D123" s="14">
        <f>AVERAGE(D2:D121)</f>
        <v>4.867943752257073E-3</v>
      </c>
      <c r="E123" s="14">
        <f>AVERAGE(E2:E121)</f>
        <v>3.8204535382622219E-4</v>
      </c>
      <c r="F123" s="14">
        <f>AVERAGE(F2:F121)</f>
        <v>4.6566663095654803E-3</v>
      </c>
      <c r="H123" s="25"/>
      <c r="I123" s="26"/>
      <c r="J123" s="26"/>
      <c r="K123" s="26"/>
      <c r="L123" s="26"/>
      <c r="M123" s="26"/>
      <c r="N123" s="26"/>
      <c r="S123" s="28"/>
    </row>
    <row r="124" spans="1:19">
      <c r="A124" s="14" t="s">
        <v>12</v>
      </c>
      <c r="B124" s="14"/>
      <c r="C124" s="15">
        <f>'기초 데이터'!D122/('기초 데이터'!D122+'기초 데이터'!G122+'기초 데이터'!J122+'기초 데이터'!M122)</f>
        <v>0.76700302558659073</v>
      </c>
      <c r="D124" s="15">
        <f>'기초 데이터'!G122/('기초 데이터'!D122+'기초 데이터'!G122+'기초 데이터'!J122+'기초 데이터'!M122)</f>
        <v>0.11032386037145586</v>
      </c>
      <c r="E124" s="15">
        <f>'기초 데이터'!J122/('기초 데이터'!D122+'기초 데이터'!G122+'기초 데이터'!J122+'기초 데이터'!M122)</f>
        <v>2.5870151313679489E-3</v>
      </c>
      <c r="F124" s="15">
        <f>'기초 데이터'!M122/('기초 데이터'!D122+'기초 데이터'!G122+'기초 데이터'!J122+'기초 데이터'!M122)</f>
        <v>0.12008609891058546</v>
      </c>
      <c r="H124" s="25"/>
      <c r="I124" s="26"/>
      <c r="J124" s="26"/>
      <c r="K124" s="26"/>
      <c r="L124" s="26"/>
      <c r="M124" s="26"/>
      <c r="N124" s="26"/>
      <c r="S124" s="28"/>
    </row>
    <row r="125" spans="1:19">
      <c r="A125" s="35" t="s">
        <v>39</v>
      </c>
      <c r="B125" s="35"/>
      <c r="C125" s="35">
        <f>(B131/B130)^(1/($A$121/12))-1</f>
        <v>5.3118543437029597E-2</v>
      </c>
      <c r="D125" s="35">
        <f>(C131/C130)^(1/($A$121/12))-1</f>
        <v>6.015521327994211E-2</v>
      </c>
      <c r="E125" s="35">
        <f>(D131/D130)^(1/($A$121/12))-1</f>
        <v>4.5950693470031556E-3</v>
      </c>
      <c r="F125" s="35">
        <f>(E131/E130)^(1/($A$121/12))-1</f>
        <v>5.7470775097472782E-2</v>
      </c>
      <c r="H125" s="25"/>
      <c r="I125" s="26"/>
      <c r="J125" s="26"/>
      <c r="K125" s="26"/>
      <c r="L125" s="26"/>
      <c r="M125" s="26"/>
      <c r="N125" s="26"/>
      <c r="S125" s="28"/>
    </row>
    <row r="126" spans="1:19">
      <c r="H126" s="25"/>
      <c r="I126" s="26"/>
      <c r="J126" s="26"/>
      <c r="K126" s="26"/>
      <c r="L126" s="26"/>
      <c r="M126" s="26"/>
      <c r="N126" s="26"/>
      <c r="S126" s="28"/>
    </row>
    <row r="127" spans="1:19">
      <c r="H127" s="25"/>
      <c r="I127" s="26"/>
      <c r="J127" s="26"/>
      <c r="K127" s="26"/>
      <c r="L127" s="26"/>
      <c r="M127" s="26"/>
      <c r="N127" s="26"/>
      <c r="S127" s="28"/>
    </row>
    <row r="128" spans="1:19">
      <c r="H128" s="25"/>
      <c r="I128" s="26"/>
      <c r="J128" s="26"/>
      <c r="K128" s="26"/>
      <c r="L128" s="26"/>
      <c r="M128" s="26"/>
      <c r="N128" s="26"/>
      <c r="S128" s="28"/>
    </row>
    <row r="129" spans="1:19">
      <c r="A129" s="29" t="s">
        <v>40</v>
      </c>
      <c r="B129" s="29" t="s">
        <v>41</v>
      </c>
      <c r="C129" s="29" t="s">
        <v>42</v>
      </c>
      <c r="D129" s="29" t="s">
        <v>43</v>
      </c>
      <c r="E129" s="29" t="s">
        <v>44</v>
      </c>
      <c r="H129" s="25"/>
      <c r="I129" s="26"/>
      <c r="J129" s="26"/>
      <c r="K129" s="26"/>
      <c r="L129" s="26"/>
      <c r="M129" s="26"/>
      <c r="N129" s="26"/>
      <c r="S129" s="28"/>
    </row>
    <row r="130" spans="1:19">
      <c r="A130" s="29">
        <v>20070228</v>
      </c>
      <c r="B130" s="29">
        <v>140.93</v>
      </c>
      <c r="C130" s="29">
        <v>66.48</v>
      </c>
      <c r="D130" s="29">
        <v>24.94</v>
      </c>
      <c r="E130" s="29">
        <v>78.83</v>
      </c>
      <c r="H130" s="25"/>
      <c r="I130" s="26"/>
      <c r="J130" s="26"/>
      <c r="K130" s="26"/>
      <c r="L130" s="26"/>
      <c r="M130" s="26"/>
      <c r="N130" s="26"/>
      <c r="S130" s="28"/>
    </row>
    <row r="131" spans="1:19">
      <c r="A131" s="29">
        <v>20170228</v>
      </c>
      <c r="B131" s="29">
        <v>236.47</v>
      </c>
      <c r="C131" s="29">
        <v>119.23</v>
      </c>
      <c r="D131" s="29">
        <v>26.11</v>
      </c>
      <c r="E131" s="29">
        <v>137.84</v>
      </c>
      <c r="H131" s="25"/>
      <c r="I131" s="26"/>
      <c r="J131" s="26"/>
      <c r="K131" s="26"/>
      <c r="L131" s="26"/>
      <c r="M131" s="26"/>
      <c r="N131" s="26"/>
      <c r="S131" s="28"/>
    </row>
    <row r="132" spans="1:19">
      <c r="H132" s="25"/>
      <c r="I132" s="26"/>
      <c r="J132" s="26"/>
      <c r="K132" s="26"/>
      <c r="L132" s="26"/>
      <c r="M132" s="26"/>
      <c r="N132" s="26"/>
      <c r="S132" s="28"/>
    </row>
    <row r="133" spans="1:19">
      <c r="H133" s="25"/>
      <c r="I133" s="26"/>
      <c r="J133" s="26"/>
      <c r="K133" s="26"/>
      <c r="L133" s="26"/>
      <c r="M133" s="26"/>
      <c r="N133" s="26"/>
      <c r="S133" s="28"/>
    </row>
    <row r="134" spans="1:19">
      <c r="H134" s="25"/>
      <c r="I134" s="26"/>
      <c r="J134" s="26"/>
      <c r="K134" s="26"/>
      <c r="L134" s="26"/>
      <c r="M134" s="26"/>
      <c r="N134" s="26"/>
      <c r="S134" s="28"/>
    </row>
    <row r="135" spans="1:19">
      <c r="H135" s="25"/>
      <c r="I135" s="26"/>
      <c r="J135" s="26"/>
      <c r="K135" s="26"/>
      <c r="L135" s="26"/>
      <c r="M135" s="26"/>
      <c r="N135" s="26"/>
      <c r="S135" s="28"/>
    </row>
    <row r="136" spans="1:19">
      <c r="H136" s="25"/>
      <c r="I136" s="26"/>
      <c r="J136" s="26"/>
      <c r="K136" s="26"/>
      <c r="L136" s="26"/>
      <c r="M136" s="26"/>
      <c r="N136" s="26"/>
      <c r="S136" s="28"/>
    </row>
    <row r="137" spans="1:19">
      <c r="H137" s="25"/>
      <c r="I137" s="26"/>
      <c r="J137" s="26"/>
      <c r="K137" s="26"/>
      <c r="L137" s="26"/>
      <c r="M137" s="26"/>
      <c r="N137" s="26"/>
      <c r="S137" s="28"/>
    </row>
    <row r="138" spans="1:19">
      <c r="H138" s="25"/>
      <c r="I138" s="26"/>
      <c r="J138" s="26"/>
      <c r="K138" s="26"/>
      <c r="L138" s="26"/>
      <c r="M138" s="26"/>
      <c r="N138" s="26"/>
      <c r="S138" s="28"/>
    </row>
    <row r="139" spans="1:19">
      <c r="H139" s="25"/>
      <c r="I139" s="26"/>
      <c r="J139" s="26"/>
      <c r="K139" s="26"/>
      <c r="L139" s="26"/>
      <c r="M139" s="26"/>
      <c r="N139" s="26"/>
      <c r="S139" s="28"/>
    </row>
    <row r="140" spans="1:19">
      <c r="H140" s="25"/>
      <c r="I140" s="26"/>
      <c r="J140" s="26"/>
      <c r="K140" s="26"/>
      <c r="L140" s="26"/>
      <c r="M140" s="26"/>
      <c r="N140" s="26"/>
      <c r="S140" s="28"/>
    </row>
    <row r="141" spans="1:19">
      <c r="H141" s="25"/>
      <c r="I141" s="26"/>
      <c r="J141" s="26"/>
      <c r="K141" s="26"/>
      <c r="L141" s="26"/>
      <c r="M141" s="26"/>
      <c r="N141" s="26"/>
      <c r="S141" s="28"/>
    </row>
    <row r="142" spans="1:19">
      <c r="H142" s="25"/>
      <c r="I142" s="26"/>
      <c r="J142" s="26"/>
      <c r="K142" s="26"/>
      <c r="L142" s="26"/>
      <c r="M142" s="26"/>
      <c r="N142" s="26"/>
      <c r="S142" s="28"/>
    </row>
    <row r="143" spans="1:19">
      <c r="H143" s="25"/>
      <c r="I143" s="26"/>
      <c r="J143" s="26"/>
      <c r="K143" s="26"/>
      <c r="L143" s="26"/>
      <c r="M143" s="26"/>
      <c r="N143" s="26"/>
      <c r="S143" s="28"/>
    </row>
    <row r="144" spans="1:19">
      <c r="H144" s="25"/>
      <c r="I144" s="26"/>
      <c r="J144" s="26"/>
      <c r="K144" s="26"/>
      <c r="L144" s="26"/>
      <c r="M144" s="26"/>
      <c r="N144" s="26"/>
      <c r="S144" s="28"/>
    </row>
    <row r="145" spans="8:19">
      <c r="H145" s="25"/>
      <c r="I145" s="26"/>
      <c r="J145" s="26"/>
      <c r="K145" s="26"/>
      <c r="L145" s="26"/>
      <c r="M145" s="26"/>
      <c r="N145" s="26"/>
      <c r="S145" s="28"/>
    </row>
    <row r="146" spans="8:19">
      <c r="H146" s="25"/>
      <c r="I146" s="26"/>
      <c r="J146" s="26"/>
      <c r="K146" s="26"/>
      <c r="L146" s="26"/>
      <c r="M146" s="26"/>
      <c r="N146" s="26"/>
      <c r="S146" s="28"/>
    </row>
    <row r="147" spans="8:19">
      <c r="H147" s="25"/>
      <c r="I147" s="26"/>
      <c r="J147" s="26"/>
      <c r="K147" s="26"/>
      <c r="L147" s="26"/>
      <c r="M147" s="26"/>
      <c r="N147" s="26"/>
      <c r="S147" s="28"/>
    </row>
    <row r="148" spans="8:19">
      <c r="H148" s="25"/>
      <c r="I148" s="26"/>
      <c r="J148" s="26"/>
      <c r="K148" s="26"/>
      <c r="L148" s="26"/>
      <c r="M148" s="26"/>
      <c r="N148" s="26"/>
      <c r="S148" s="28"/>
    </row>
    <row r="149" spans="8:19">
      <c r="H149" s="25"/>
      <c r="I149" s="26"/>
      <c r="J149" s="26"/>
      <c r="K149" s="26"/>
      <c r="L149" s="26"/>
      <c r="M149" s="26"/>
      <c r="N149" s="26"/>
      <c r="S149" s="28"/>
    </row>
    <row r="150" spans="8:19">
      <c r="H150" s="25"/>
      <c r="I150" s="26"/>
      <c r="J150" s="26"/>
      <c r="K150" s="26"/>
      <c r="L150" s="26"/>
      <c r="M150" s="26"/>
      <c r="N150" s="26"/>
      <c r="S150" s="28"/>
    </row>
    <row r="151" spans="8:19">
      <c r="H151" s="25"/>
      <c r="I151" s="26"/>
      <c r="J151" s="26"/>
      <c r="K151" s="26"/>
      <c r="L151" s="26"/>
      <c r="M151" s="26"/>
      <c r="N151" s="26"/>
      <c r="S151" s="28"/>
    </row>
    <row r="152" spans="8:19">
      <c r="H152" s="25"/>
      <c r="I152" s="26"/>
      <c r="J152" s="26"/>
      <c r="K152" s="26"/>
      <c r="L152" s="26"/>
      <c r="M152" s="26"/>
      <c r="N152" s="26"/>
      <c r="S152" s="28"/>
    </row>
    <row r="153" spans="8:19">
      <c r="H153" s="25"/>
      <c r="I153" s="26"/>
      <c r="J153" s="26"/>
      <c r="K153" s="26"/>
      <c r="L153" s="26"/>
      <c r="M153" s="26"/>
      <c r="N153" s="26"/>
      <c r="S153" s="28"/>
    </row>
    <row r="154" spans="8:19">
      <c r="H154" s="25"/>
      <c r="I154" s="26"/>
      <c r="J154" s="26"/>
      <c r="K154" s="26"/>
      <c r="L154" s="26"/>
      <c r="M154" s="26"/>
      <c r="N154" s="26"/>
      <c r="S154" s="28"/>
    </row>
    <row r="155" spans="8:19">
      <c r="H155" s="25"/>
      <c r="I155" s="26"/>
      <c r="J155" s="26"/>
      <c r="K155" s="26"/>
      <c r="L155" s="26"/>
      <c r="M155" s="26"/>
      <c r="N155" s="26"/>
      <c r="S155" s="28"/>
    </row>
    <row r="156" spans="8:19">
      <c r="H156" s="25"/>
      <c r="I156" s="26"/>
      <c r="J156" s="26"/>
      <c r="K156" s="26"/>
      <c r="L156" s="26"/>
      <c r="M156" s="26"/>
      <c r="N156" s="26"/>
      <c r="S156" s="28"/>
    </row>
    <row r="157" spans="8:19">
      <c r="H157" s="25"/>
      <c r="I157" s="26"/>
      <c r="J157" s="26"/>
      <c r="K157" s="26"/>
      <c r="L157" s="26"/>
      <c r="M157" s="26"/>
      <c r="N157" s="26"/>
      <c r="S157" s="28"/>
    </row>
    <row r="158" spans="8:19">
      <c r="H158" s="25"/>
      <c r="I158" s="26"/>
      <c r="J158" s="26"/>
      <c r="K158" s="26"/>
      <c r="L158" s="26"/>
      <c r="M158" s="26"/>
      <c r="N158" s="26"/>
      <c r="S158" s="28"/>
    </row>
    <row r="159" spans="8:19">
      <c r="H159" s="25"/>
      <c r="I159" s="26"/>
      <c r="J159" s="26"/>
      <c r="K159" s="26"/>
      <c r="L159" s="26"/>
      <c r="M159" s="26"/>
      <c r="N159" s="26"/>
      <c r="S159" s="28"/>
    </row>
    <row r="160" spans="8:19">
      <c r="H160" s="25"/>
      <c r="I160" s="26"/>
      <c r="J160" s="26"/>
      <c r="K160" s="26"/>
      <c r="L160" s="26"/>
      <c r="M160" s="26"/>
      <c r="N160" s="26"/>
      <c r="S160" s="28"/>
    </row>
    <row r="161" spans="8:19">
      <c r="H161" s="25"/>
      <c r="I161" s="26"/>
      <c r="J161" s="26"/>
      <c r="K161" s="26"/>
      <c r="L161" s="26"/>
      <c r="M161" s="26"/>
      <c r="N161" s="26"/>
      <c r="S161" s="28"/>
    </row>
    <row r="162" spans="8:19">
      <c r="H162" s="25"/>
      <c r="I162" s="26"/>
      <c r="J162" s="26"/>
      <c r="K162" s="26"/>
      <c r="L162" s="26"/>
      <c r="M162" s="26"/>
      <c r="N162" s="26"/>
      <c r="S162" s="28"/>
    </row>
    <row r="163" spans="8:19">
      <c r="H163" s="25"/>
      <c r="I163" s="26"/>
      <c r="J163" s="26"/>
      <c r="K163" s="26"/>
      <c r="L163" s="26"/>
      <c r="M163" s="26"/>
      <c r="N163" s="26"/>
      <c r="S163" s="28"/>
    </row>
    <row r="164" spans="8:19">
      <c r="H164" s="25"/>
      <c r="I164" s="26"/>
      <c r="J164" s="26"/>
      <c r="K164" s="26"/>
      <c r="L164" s="26"/>
      <c r="M164" s="26"/>
      <c r="N164" s="26"/>
      <c r="S164" s="28"/>
    </row>
    <row r="165" spans="8:19">
      <c r="H165" s="25"/>
      <c r="I165" s="26"/>
      <c r="J165" s="26"/>
      <c r="K165" s="26"/>
      <c r="L165" s="26"/>
      <c r="M165" s="26"/>
      <c r="N165" s="26"/>
      <c r="S165" s="28"/>
    </row>
    <row r="166" spans="8:19">
      <c r="H166" s="25"/>
      <c r="I166" s="26"/>
      <c r="J166" s="26"/>
      <c r="K166" s="26"/>
      <c r="L166" s="26"/>
      <c r="M166" s="26"/>
      <c r="N166" s="26"/>
      <c r="S166" s="28"/>
    </row>
    <row r="167" spans="8:19">
      <c r="H167" s="25"/>
      <c r="I167" s="26"/>
      <c r="J167" s="26"/>
      <c r="K167" s="26"/>
      <c r="L167" s="26"/>
      <c r="M167" s="26"/>
      <c r="N167" s="26"/>
      <c r="S167" s="28"/>
    </row>
    <row r="168" spans="8:19">
      <c r="H168" s="25"/>
      <c r="I168" s="26"/>
      <c r="J168" s="26"/>
      <c r="K168" s="26"/>
      <c r="L168" s="26"/>
      <c r="M168" s="26"/>
      <c r="N168" s="26"/>
      <c r="S168" s="28"/>
    </row>
    <row r="169" spans="8:19">
      <c r="H169" s="25"/>
      <c r="I169" s="26"/>
      <c r="J169" s="26"/>
      <c r="K169" s="26"/>
      <c r="L169" s="26"/>
      <c r="M169" s="26"/>
      <c r="N169" s="26"/>
      <c r="S169" s="28"/>
    </row>
    <row r="170" spans="8:19">
      <c r="H170" s="25"/>
      <c r="I170" s="26"/>
      <c r="J170" s="26"/>
      <c r="K170" s="26"/>
      <c r="L170" s="26"/>
      <c r="M170" s="26"/>
      <c r="N170" s="26"/>
      <c r="S170" s="28"/>
    </row>
    <row r="171" spans="8:19">
      <c r="H171" s="25"/>
      <c r="I171" s="26"/>
      <c r="J171" s="26"/>
      <c r="K171" s="26"/>
      <c r="L171" s="26"/>
      <c r="M171" s="26"/>
      <c r="N171" s="26"/>
      <c r="S171" s="28"/>
    </row>
    <row r="172" spans="8:19">
      <c r="H172" s="25"/>
      <c r="I172" s="26"/>
      <c r="J172" s="26"/>
      <c r="K172" s="26"/>
      <c r="L172" s="26"/>
      <c r="M172" s="26"/>
      <c r="N172" s="26"/>
      <c r="S172" s="28"/>
    </row>
    <row r="173" spans="8:19">
      <c r="H173" s="25"/>
      <c r="I173" s="26"/>
      <c r="J173" s="26"/>
      <c r="K173" s="26"/>
      <c r="L173" s="26"/>
      <c r="M173" s="26"/>
      <c r="N173" s="26"/>
      <c r="S173" s="28"/>
    </row>
    <row r="174" spans="8:19">
      <c r="H174" s="25"/>
      <c r="I174" s="26"/>
      <c r="J174" s="26"/>
      <c r="K174" s="26"/>
      <c r="L174" s="26"/>
      <c r="M174" s="26"/>
      <c r="N174" s="26"/>
      <c r="S174" s="28"/>
    </row>
    <row r="175" spans="8:19">
      <c r="H175" s="25"/>
      <c r="I175" s="26"/>
      <c r="J175" s="26"/>
      <c r="K175" s="26"/>
      <c r="L175" s="26"/>
      <c r="M175" s="26"/>
      <c r="N175" s="26"/>
      <c r="S175" s="28"/>
    </row>
    <row r="176" spans="8:19">
      <c r="H176" s="25"/>
      <c r="I176" s="26"/>
      <c r="J176" s="26"/>
      <c r="K176" s="26"/>
      <c r="L176" s="26"/>
      <c r="M176" s="26"/>
      <c r="N176" s="26"/>
      <c r="S176" s="28"/>
    </row>
    <row r="177" spans="5:19">
      <c r="H177" s="25"/>
      <c r="I177" s="26"/>
      <c r="J177" s="26"/>
      <c r="K177" s="26"/>
      <c r="L177" s="26"/>
      <c r="M177" s="26"/>
      <c r="N177" s="26"/>
      <c r="S177" s="28"/>
    </row>
    <row r="178" spans="5:19">
      <c r="H178" s="25"/>
      <c r="I178" s="26"/>
      <c r="J178" s="26"/>
      <c r="K178" s="26"/>
      <c r="L178" s="26"/>
      <c r="M178" s="26"/>
      <c r="N178" s="26"/>
      <c r="S178" s="28"/>
    </row>
    <row r="179" spans="5:19">
      <c r="H179" s="25"/>
      <c r="I179" s="26"/>
      <c r="J179" s="26"/>
      <c r="K179" s="26"/>
      <c r="L179" s="26"/>
      <c r="M179" s="26"/>
      <c r="N179" s="26"/>
      <c r="S179" s="28"/>
    </row>
    <row r="180" spans="5:19">
      <c r="H180" s="25"/>
      <c r="I180" s="26"/>
      <c r="J180" s="26"/>
      <c r="K180" s="26"/>
      <c r="L180" s="26"/>
      <c r="M180" s="26"/>
      <c r="N180" s="26"/>
      <c r="S180" s="28"/>
    </row>
    <row r="181" spans="5:19">
      <c r="H181" s="25"/>
    </row>
    <row r="182" spans="5:19">
      <c r="E182" s="17"/>
      <c r="H182" s="2" t="s">
        <v>25</v>
      </c>
      <c r="I182" s="2">
        <v>0</v>
      </c>
      <c r="J182" s="2">
        <v>0</v>
      </c>
    </row>
    <row r="183" spans="5:19">
      <c r="E183" s="17"/>
      <c r="H183" s="17"/>
      <c r="I183" s="2">
        <v>4.9581375979000815E-3</v>
      </c>
      <c r="J183" s="2">
        <v>3.0647283052820983E-3</v>
      </c>
    </row>
    <row r="184" spans="5:19">
      <c r="E184" s="17"/>
      <c r="H184" s="17"/>
      <c r="I184" s="2">
        <v>9.916275195800163E-3</v>
      </c>
      <c r="J184" s="2">
        <v>6.1294566105641966E-3</v>
      </c>
    </row>
    <row r="185" spans="5:19">
      <c r="E185" s="17"/>
      <c r="H185" s="17"/>
      <c r="I185" s="2">
        <v>1.4874412793700243E-2</v>
      </c>
      <c r="J185" s="2">
        <v>9.194184915846294E-3</v>
      </c>
    </row>
    <row r="186" spans="5:19">
      <c r="I186" s="2">
        <v>1.9832550391600326E-2</v>
      </c>
      <c r="J186" s="2">
        <v>1.2258913221128393E-2</v>
      </c>
    </row>
    <row r="187" spans="5:19">
      <c r="I187" s="2">
        <v>2.4790687989500404E-2</v>
      </c>
      <c r="J187" s="2">
        <v>1.5323641526410491E-2</v>
      </c>
    </row>
    <row r="188" spans="5:19">
      <c r="I188" s="2">
        <v>2.9748825587400485E-2</v>
      </c>
      <c r="J188" s="2">
        <v>1.8388369831692588E-2</v>
      </c>
    </row>
    <row r="189" spans="5:19">
      <c r="I189" s="2">
        <v>3.4706963185300567E-2</v>
      </c>
      <c r="J189" s="2">
        <v>2.1453098136974685E-2</v>
      </c>
    </row>
    <row r="190" spans="5:19">
      <c r="I190" s="2">
        <v>3.9665100783200652E-2</v>
      </c>
      <c r="J190" s="2">
        <v>2.4517826442256786E-2</v>
      </c>
    </row>
    <row r="191" spans="5:19">
      <c r="I191" s="2">
        <v>4.4623238381100737E-2</v>
      </c>
      <c r="J191" s="2">
        <v>2.7582554747538887E-2</v>
      </c>
    </row>
    <row r="192" spans="5:19">
      <c r="I192" s="2">
        <v>4.9581375979000815E-2</v>
      </c>
      <c r="J192" s="2">
        <v>3.0647283052820985E-2</v>
      </c>
    </row>
    <row r="193" spans="9:10">
      <c r="I193" s="2">
        <v>5.45395135769009E-2</v>
      </c>
      <c r="J193" s="2">
        <v>3.3712011358103082E-2</v>
      </c>
    </row>
    <row r="194" spans="9:10">
      <c r="I194" s="2">
        <v>5.9497651174800985E-2</v>
      </c>
      <c r="J194" s="2">
        <v>3.6776739663385183E-2</v>
      </c>
    </row>
    <row r="195" spans="9:10">
      <c r="I195" s="2">
        <v>6.4455788772701056E-2</v>
      </c>
      <c r="J195" s="2">
        <v>3.9841467968667277E-2</v>
      </c>
    </row>
    <row r="196" spans="9:10">
      <c r="I196" s="2">
        <v>6.9413926370601148E-2</v>
      </c>
      <c r="J196" s="2">
        <v>4.2906196273949378E-2</v>
      </c>
    </row>
    <row r="197" spans="9:10">
      <c r="I197" s="2">
        <v>7.437206396850124E-2</v>
      </c>
      <c r="J197" s="2">
        <v>4.5970924579231479E-2</v>
      </c>
    </row>
    <row r="198" spans="9:10">
      <c r="I198" s="2">
        <v>7.9330201566401304E-2</v>
      </c>
      <c r="J198" s="2">
        <v>4.9035652884513579E-2</v>
      </c>
    </row>
    <row r="199" spans="9:10">
      <c r="I199" s="2">
        <v>8.4288339164301382E-2</v>
      </c>
      <c r="J199" s="2">
        <v>5.2100381189795673E-2</v>
      </c>
    </row>
    <row r="200" spans="9:10">
      <c r="I200" s="2">
        <v>8.9246476762201474E-2</v>
      </c>
      <c r="J200" s="2">
        <v>5.5165109495077774E-2</v>
      </c>
    </row>
    <row r="201" spans="9:10">
      <c r="I201" s="2">
        <v>9.4204614360101552E-2</v>
      </c>
      <c r="J201" s="2">
        <v>5.8229837800359875E-2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A1:E121"/>
  <sheetViews>
    <sheetView workbookViewId="0">
      <selection activeCell="I29" sqref="I29"/>
    </sheetView>
  </sheetViews>
  <sheetFormatPr defaultRowHeight="16.5"/>
  <cols>
    <col min="1" max="1" width="11.125" bestFit="1" customWidth="1"/>
    <col min="2" max="2" width="9.125" customWidth="1"/>
    <col min="4" max="4" width="14.75" customWidth="1"/>
  </cols>
  <sheetData>
    <row r="1" spans="1:5">
      <c r="A1" s="12" t="s">
        <v>8</v>
      </c>
      <c r="B1" s="12" t="s">
        <v>9</v>
      </c>
      <c r="C1" s="12" t="s">
        <v>48</v>
      </c>
      <c r="D1" s="12" t="s">
        <v>49</v>
      </c>
      <c r="E1" s="12" t="s">
        <v>50</v>
      </c>
    </row>
    <row r="2" spans="1:5">
      <c r="A2" s="13">
        <v>39171</v>
      </c>
      <c r="B2" s="12">
        <f>LN('기초 데이터'!C3/'기초 데이터'!C2)</f>
        <v>7.5637443978409432E-3</v>
      </c>
      <c r="C2" s="12">
        <f>LN('기초 데이터'!F3/'기초 데이터'!F2)</f>
        <v>-1.1193582311119527E-2</v>
      </c>
      <c r="D2" s="12">
        <f>LN('기초 데이터'!I3/'기초 데이터'!I2)</f>
        <v>-6.0325942047913745E-3</v>
      </c>
      <c r="E2" s="12">
        <f>LN('기초 데이터'!L3/'기초 데이터'!L2)</f>
        <v>8.5891648415754064E-3</v>
      </c>
    </row>
    <row r="3" spans="1:5">
      <c r="A3" s="13">
        <v>39202</v>
      </c>
      <c r="B3" s="12">
        <f>LN('기초 데이터'!C4/'기초 데이터'!C3)</f>
        <v>4.3342758385716926E-2</v>
      </c>
      <c r="C3" s="12">
        <f>LN('기초 데이터'!F4/'기초 데이터'!F3)</f>
        <v>2.0327433338723361E-2</v>
      </c>
      <c r="D3" s="12">
        <f>LN('기초 데이터'!I4/'기초 데이터'!I3)</f>
        <v>-1.2175475083022778E-2</v>
      </c>
      <c r="E3" s="12">
        <f>LN('기초 데이터'!L4/'기초 데이터'!L3)</f>
        <v>1.535131551140248E-2</v>
      </c>
    </row>
    <row r="4" spans="1:5">
      <c r="A4" s="13">
        <v>39233</v>
      </c>
      <c r="B4" s="12">
        <f>LN('기초 데이터'!C5/'기초 데이터'!C4)</f>
        <v>3.335742452537676E-2</v>
      </c>
      <c r="C4" s="12">
        <f>LN('기초 데이터'!F5/'기초 데이터'!F4)</f>
        <v>-2.3374358304128109E-2</v>
      </c>
      <c r="D4" s="12">
        <f>LN('기초 데이터'!I5/'기초 데이터'!I4)</f>
        <v>1.7405822955176065E-2</v>
      </c>
      <c r="E4" s="12">
        <f>LN('기초 데이터'!L5/'기초 데이터'!L4)</f>
        <v>4.1960805823486401E-2</v>
      </c>
    </row>
    <row r="5" spans="1:5">
      <c r="A5" s="13">
        <v>39262</v>
      </c>
      <c r="B5" s="12">
        <f>LN('기초 데이터'!C6/'기초 데이터'!C5)</f>
        <v>-1.9029380802621891E-2</v>
      </c>
      <c r="C5" s="12">
        <f>LN('기초 데이터'!F6/'기초 데이터'!F5)</f>
        <v>-1.9567683887473909E-2</v>
      </c>
      <c r="D5" s="12">
        <f>LN('기초 데이터'!I6/'기초 데이터'!I5)</f>
        <v>-1.606426048273799E-3</v>
      </c>
      <c r="E5" s="12">
        <f>LN('기초 데이터'!L6/'기초 데이터'!L5)</f>
        <v>-1.4836357327009272E-2</v>
      </c>
    </row>
    <row r="6" spans="1:5">
      <c r="A6" s="13">
        <v>39294</v>
      </c>
      <c r="B6" s="12">
        <f>LN('기초 데이터'!C7/'기초 데이터'!C6)</f>
        <v>-3.1810887569369353E-2</v>
      </c>
      <c r="C6" s="12">
        <f>LN('기초 데이터'!F7/'기초 데이터'!F6)</f>
        <v>2.3374891714711812E-2</v>
      </c>
      <c r="D6" s="12">
        <f>LN('기초 데이터'!I7/'기초 데이터'!I6)</f>
        <v>-9.2873673822796276E-3</v>
      </c>
      <c r="E6" s="12">
        <f>LN('기초 데이터'!L7/'기초 데이터'!L6)</f>
        <v>-7.3255283351988026E-2</v>
      </c>
    </row>
    <row r="7" spans="1:5">
      <c r="A7" s="13">
        <v>39325</v>
      </c>
      <c r="B7" s="12">
        <f>LN('기초 데이터'!C8/'기초 데이터'!C7)</f>
        <v>1.2751187053321613E-2</v>
      </c>
      <c r="C7" s="12">
        <f>LN('기초 데이터'!F8/'기초 데이터'!F7)</f>
        <v>1.1034803226820303E-2</v>
      </c>
      <c r="D7" s="12">
        <f>LN('기초 데이터'!I8/'기초 데이터'!I7)</f>
        <v>5.6634455583999942E-3</v>
      </c>
      <c r="E7" s="12">
        <f>LN('기초 데이터'!L8/'기초 데이터'!L7)</f>
        <v>2.104800494630758E-2</v>
      </c>
    </row>
    <row r="8" spans="1:5">
      <c r="A8" s="13">
        <v>39353</v>
      </c>
      <c r="B8" s="12">
        <f>LN('기초 데이터'!C9/'기초 데이터'!C8)</f>
        <v>3.3250889468398701E-2</v>
      </c>
      <c r="C8" s="12">
        <f>LN('기초 데이터'!F9/'기초 데이터'!F8)</f>
        <v>9.9918797061269382E-2</v>
      </c>
      <c r="D8" s="12">
        <f>LN('기초 데이터'!I9/'기초 데이터'!I8)</f>
        <v>-3.0305349495328922E-2</v>
      </c>
      <c r="E8" s="12">
        <f>LN('기초 데이터'!L9/'기초 데이터'!L8)</f>
        <v>1.6375224199941418E-2</v>
      </c>
    </row>
    <row r="9" spans="1:5">
      <c r="A9" s="13">
        <v>39386</v>
      </c>
      <c r="B9" s="12">
        <f>LN('기초 데이터'!C10/'기초 데이터'!C9)</f>
        <v>1.3475450468995355E-2</v>
      </c>
      <c r="C9" s="12">
        <f>LN('기초 데이터'!F10/'기초 데이터'!F9)</f>
        <v>6.7204668607718065E-2</v>
      </c>
      <c r="D9" s="12">
        <f>LN('기초 데이터'!I10/'기초 데이터'!I9)</f>
        <v>-1.2552466071119973E-2</v>
      </c>
      <c r="E9" s="12">
        <f>LN('기초 데이터'!L10/'기초 데이터'!L9)</f>
        <v>2.8087581810261421E-2</v>
      </c>
    </row>
    <row r="10" spans="1:5">
      <c r="A10" s="13">
        <v>39416</v>
      </c>
      <c r="B10" s="12">
        <f>LN('기초 데이터'!C11/'기초 데이터'!C10)</f>
        <v>-3.9502679833931242E-2</v>
      </c>
      <c r="C10" s="12">
        <f>LN('기초 데이터'!F11/'기초 데이터'!F10)</f>
        <v>-1.6673465653584282E-2</v>
      </c>
      <c r="D10" s="12">
        <f>LN('기초 데이터'!I11/'기초 데이터'!I10)</f>
        <v>2.943033446503786E-3</v>
      </c>
      <c r="E10" s="12">
        <f>LN('기초 데이터'!L11/'기초 데이터'!L10)</f>
        <v>-7.2278145476645614E-2</v>
      </c>
    </row>
    <row r="11" spans="1:5">
      <c r="A11" s="13">
        <v>39444</v>
      </c>
      <c r="B11" s="12">
        <f>LN('기초 데이터'!C12/'기초 데이터'!C11)</f>
        <v>-9.1904958285627166E-3</v>
      </c>
      <c r="C11" s="12">
        <f>LN('기초 데이터'!F12/'기초 데이터'!F11)</f>
        <v>7.0887953456467839E-2</v>
      </c>
      <c r="D11" s="12">
        <f>LN('기초 데이터'!I12/'기초 데이터'!I11)</f>
        <v>-1.1399743464727313E-2</v>
      </c>
      <c r="E11" s="12">
        <f>LN('기초 데이터'!L12/'기초 데이터'!L11)</f>
        <v>-2.611989044496066E-4</v>
      </c>
    </row>
    <row r="12" spans="1:5">
      <c r="A12" s="13">
        <v>39478</v>
      </c>
      <c r="B12" s="12">
        <f>LN('기초 데이터'!C13/'기초 데이터'!C12)</f>
        <v>-6.9793308131470819E-2</v>
      </c>
      <c r="C12" s="12">
        <f>LN('기초 데이터'!F13/'기초 데이터'!F12)</f>
        <v>9.640487066350642E-2</v>
      </c>
      <c r="D12" s="12">
        <f>LN('기초 데이터'!I13/'기초 데이터'!I12)</f>
        <v>-4.6818557536148879E-3</v>
      </c>
      <c r="E12" s="12">
        <f>LN('기초 데이터'!L13/'기초 데이터'!L12)</f>
        <v>-7.6240297799223061E-2</v>
      </c>
    </row>
    <row r="13" spans="1:5">
      <c r="A13" s="13">
        <v>39507</v>
      </c>
      <c r="B13" s="12">
        <f>LN('기초 데이터'!C14/'기초 데이터'!C13)</f>
        <v>-2.6182401982443034E-2</v>
      </c>
      <c r="C13" s="12">
        <f>LN('기초 데이터'!F14/'기초 데이터'!F13)</f>
        <v>5.0975957389412227E-2</v>
      </c>
      <c r="D13" s="12">
        <f>LN('기초 데이터'!I14/'기초 데이터'!I13)</f>
        <v>-2.1126028202257823E-2</v>
      </c>
      <c r="E13" s="12">
        <f>LN('기초 데이터'!L14/'기초 데이터'!L13)</f>
        <v>-2.9758991435098019E-2</v>
      </c>
    </row>
    <row r="14" spans="1:5">
      <c r="A14" s="13">
        <v>39538</v>
      </c>
      <c r="B14" s="12">
        <f>LN('기초 데이터'!C15/'기초 데이터'!C14)</f>
        <v>-1.3920989325932817E-2</v>
      </c>
      <c r="C14" s="12">
        <f>LN('기초 데이터'!F15/'기초 데이터'!F14)</f>
        <v>-6.1866555100241589E-2</v>
      </c>
      <c r="D14" s="12">
        <f>LN('기초 데이터'!I15/'기초 데이터'!I14)</f>
        <v>-2.4256977645559983E-2</v>
      </c>
      <c r="E14" s="12">
        <f>LN('기초 데이터'!L15/'기초 데이터'!L14)</f>
        <v>-8.3121149373797231E-3</v>
      </c>
    </row>
    <row r="15" spans="1:5">
      <c r="A15" s="13">
        <v>39568</v>
      </c>
      <c r="B15" s="12">
        <f>LN('기초 데이터'!C16/'기초 데이터'!C15)</f>
        <v>4.6561346488380735E-2</v>
      </c>
      <c r="C15" s="12">
        <f>LN('기초 데이터'!F16/'기초 데이터'!F15)</f>
        <v>-4.2477864587659848E-2</v>
      </c>
      <c r="D15" s="12">
        <f>LN('기초 데이터'!I16/'기초 데이터'!I15)</f>
        <v>9.3313274288844405E-3</v>
      </c>
      <c r="E15" s="12">
        <f>LN('기초 데이터'!L16/'기초 데이터'!L15)</f>
        <v>4.4534526372540822E-2</v>
      </c>
    </row>
    <row r="16" spans="1:5">
      <c r="A16" s="13">
        <v>39598</v>
      </c>
      <c r="B16" s="12">
        <f>LN('기초 데이터'!C17/'기초 데이터'!C16)</f>
        <v>1.5003332290772492E-2</v>
      </c>
      <c r="C16" s="12">
        <f>LN('기초 데이터'!F17/'기초 데이터'!F16)</f>
        <v>9.1901853029959599E-3</v>
      </c>
      <c r="D16" s="12">
        <f>LN('기초 데이터'!I17/'기초 데이터'!I16)</f>
        <v>4.4130698275886412E-3</v>
      </c>
      <c r="E16" s="12">
        <f>LN('기초 데이터'!L17/'기초 데이터'!L16)</f>
        <v>4.4780535702071467E-2</v>
      </c>
    </row>
    <row r="17" spans="1:5">
      <c r="A17" s="13">
        <v>39629</v>
      </c>
      <c r="B17" s="12">
        <f>LN('기초 데이터'!C18/'기초 데이터'!C17)</f>
        <v>-9.2265301096577254E-2</v>
      </c>
      <c r="C17" s="12">
        <f>LN('기초 데이터'!F18/'기초 데이터'!F17)</f>
        <v>4.417827699549326E-2</v>
      </c>
      <c r="D17" s="12">
        <f>LN('기초 데이터'!I18/'기초 데이터'!I17)</f>
        <v>-9.7345901462429392E-3</v>
      </c>
      <c r="E17" s="12">
        <f>LN('기초 데이터'!L18/'기초 데이터'!L17)</f>
        <v>-7.824752519230925E-2</v>
      </c>
    </row>
    <row r="18" spans="1:5">
      <c r="A18" s="13">
        <v>39660</v>
      </c>
      <c r="B18" s="12">
        <f>LN('기초 데이터'!C19/'기초 데이터'!C18)</f>
        <v>-9.0263946319760289E-3</v>
      </c>
      <c r="C18" s="12">
        <f>LN('기초 데이터'!F19/'기초 데이터'!F18)</f>
        <v>-1.45473140687241E-2</v>
      </c>
      <c r="D18" s="12">
        <f>LN('기초 데이터'!I19/'기초 데이터'!I18)</f>
        <v>1.0174827881726276E-2</v>
      </c>
      <c r="E18" s="12">
        <f>LN('기초 데이터'!L19/'기초 데이터'!L18)</f>
        <v>3.2345913139638534E-2</v>
      </c>
    </row>
    <row r="19" spans="1:5">
      <c r="A19" s="13">
        <v>39689</v>
      </c>
      <c r="B19" s="12">
        <f>LN('기초 데이터'!C20/'기초 데이터'!C19)</f>
        <v>1.5335563825240629E-2</v>
      </c>
      <c r="C19" s="12">
        <f>LN('기초 데이터'!F20/'기초 데이터'!F19)</f>
        <v>-9.7521770994764181E-2</v>
      </c>
      <c r="D19" s="12">
        <f>LN('기초 데이터'!I20/'기초 데이터'!I19)</f>
        <v>5.2305106276876658E-2</v>
      </c>
      <c r="E19" s="12">
        <f>LN('기초 데이터'!L20/'기초 데이터'!L19)</f>
        <v>3.5129998545706947E-2</v>
      </c>
    </row>
    <row r="20" spans="1:5">
      <c r="A20" s="13">
        <v>39721</v>
      </c>
      <c r="B20" s="12">
        <f>LN('기초 데이터'!C21/'기초 데이터'!C20)</f>
        <v>-0.10467919041079402</v>
      </c>
      <c r="C20" s="12">
        <f>LN('기초 데이터'!F21/'기초 데이터'!F20)</f>
        <v>4.0298053591176837E-2</v>
      </c>
      <c r="D20" s="12">
        <f>LN('기초 데이터'!I21/'기초 데이터'!I20)</f>
        <v>2.0670434173567537E-2</v>
      </c>
      <c r="E20" s="12">
        <f>LN('기초 데이터'!L21/'기초 데이터'!L20)</f>
        <v>-8.2799086364539795E-2</v>
      </c>
    </row>
    <row r="21" spans="1:5">
      <c r="A21" s="13">
        <v>39752</v>
      </c>
      <c r="B21" s="12">
        <f>LN('기초 데이터'!C22/'기초 데이터'!C21)</f>
        <v>-0.18054711687034514</v>
      </c>
      <c r="C21" s="12">
        <f>LN('기초 데이터'!F22/'기초 데이터'!F21)</f>
        <v>-0.17601726705704743</v>
      </c>
      <c r="D21" s="12">
        <f>LN('기초 데이터'!I22/'기초 데이터'!I21)</f>
        <v>8.0923598688781823E-2</v>
      </c>
      <c r="E21" s="12">
        <f>LN('기초 데이터'!L22/'기초 데이터'!L21)</f>
        <v>-0.23516403816833456</v>
      </c>
    </row>
    <row r="22" spans="1:5">
      <c r="A22" s="13">
        <v>39780</v>
      </c>
      <c r="B22" s="12">
        <f>LN('기초 데이터'!C23/'기초 데이터'!C22)</f>
        <v>-7.2147692960091089E-2</v>
      </c>
      <c r="C22" s="12">
        <f>LN('기초 데이터'!F23/'기초 데이터'!F22)</f>
        <v>0.11843696626962541</v>
      </c>
      <c r="D22" s="12">
        <f>LN('기초 데이터'!I23/'기초 데이터'!I22)</f>
        <v>1.8850146957714257E-3</v>
      </c>
      <c r="E22" s="12">
        <f>LN('기초 데이터'!L23/'기초 데이터'!L22)</f>
        <v>-0.12698806292193421</v>
      </c>
    </row>
    <row r="23" spans="1:5">
      <c r="A23" s="13">
        <v>39812</v>
      </c>
      <c r="B23" s="12">
        <f>LN('기초 데이터'!C24/'기초 데이터'!C23)</f>
        <v>-1.2509936406672712E-2</v>
      </c>
      <c r="C23" s="12">
        <f>LN('기초 데이터'!F24/'기초 데이터'!F23)</f>
        <v>6.7289682789838878E-2</v>
      </c>
      <c r="D23" s="12">
        <f>LN('기초 데이터'!I24/'기초 데이터'!I23)</f>
        <v>-7.7096643550059143E-2</v>
      </c>
      <c r="E23" s="12">
        <f>LN('기초 데이터'!L24/'기초 데이터'!L23)</f>
        <v>1.6342287020640209E-2</v>
      </c>
    </row>
    <row r="24" spans="1:5">
      <c r="A24" s="13">
        <v>39843</v>
      </c>
      <c r="B24" s="12">
        <f>LN('기초 데이터'!C25/'기초 데이터'!C24)</f>
        <v>-7.1508919646503202E-2</v>
      </c>
      <c r="C24" s="12">
        <f>LN('기초 데이터'!F25/'기초 데이터'!F24)</f>
        <v>6.1076481638039061E-2</v>
      </c>
      <c r="D24" s="12">
        <f>LN('기초 데이터'!I25/'기초 데이터'!I24)</f>
        <v>5.4238505474008915E-2</v>
      </c>
      <c r="E24" s="12">
        <f>LN('기초 데이터'!L25/'기초 데이터'!L24)</f>
        <v>-7.8658241164151224E-2</v>
      </c>
    </row>
    <row r="25" spans="1:5">
      <c r="A25" s="13">
        <v>39871</v>
      </c>
      <c r="B25" s="12">
        <f>LN('기초 데이터'!C26/'기초 데이터'!C25)</f>
        <v>-0.11367161504116396</v>
      </c>
      <c r="C25" s="12">
        <f>LN('기초 데이터'!F26/'기초 데이터'!F25)</f>
        <v>1.435275263768725E-2</v>
      </c>
      <c r="D25" s="12">
        <f>LN('기초 데이터'!I26/'기초 데이터'!I25)</f>
        <v>2.0218121456909825E-2</v>
      </c>
      <c r="E25" s="12">
        <f>LN('기초 데이터'!L26/'기초 데이터'!L25)</f>
        <v>-0.12763922750551476</v>
      </c>
    </row>
    <row r="26" spans="1:5">
      <c r="A26" s="13">
        <v>39903</v>
      </c>
      <c r="B26" s="12">
        <f>LN('기초 데이터'!C27/'기초 데이터'!C26)</f>
        <v>7.2889862779309755E-2</v>
      </c>
      <c r="C26" s="12">
        <f>LN('기초 데이터'!F27/'기초 데이터'!F26)</f>
        <v>-2.5697111316601177E-2</v>
      </c>
      <c r="D26" s="12">
        <f>LN('기초 데이터'!I27/'기초 데이터'!I26)</f>
        <v>-3.2236099016338185E-2</v>
      </c>
      <c r="E26" s="12">
        <f>LN('기초 데이터'!L27/'기초 데이터'!L26)</f>
        <v>7.1458963982144852E-2</v>
      </c>
    </row>
    <row r="27" spans="1:5">
      <c r="A27" s="13">
        <v>39933</v>
      </c>
      <c r="B27" s="12">
        <f>LN('기초 데이터'!C28/'기초 데이터'!C27)</f>
        <v>9.4715527086849938E-2</v>
      </c>
      <c r="C27" s="12">
        <f>LN('기초 데이터'!F28/'기초 데이터'!F27)</f>
        <v>-3.3909190774115076E-2</v>
      </c>
      <c r="D27" s="12">
        <f>LN('기초 데이터'!I28/'기초 데이터'!I27)</f>
        <v>-1.1769457159476372E-2</v>
      </c>
      <c r="E27" s="12">
        <f>LN('기초 데이터'!L28/'기초 데이터'!L27)</f>
        <v>0.14311669765689244</v>
      </c>
    </row>
    <row r="28" spans="1:5">
      <c r="A28" s="13">
        <v>39962</v>
      </c>
      <c r="B28" s="12">
        <f>LN('기초 데이터'!C29/'기초 데이터'!C28)</f>
        <v>5.6808826825770403E-2</v>
      </c>
      <c r="C28" s="12">
        <f>LN('기초 데이터'!F29/'기초 데이터'!F28)</f>
        <v>9.7422596496441013E-2</v>
      </c>
      <c r="D28" s="12">
        <f>LN('기초 데이터'!I29/'기초 데이터'!I28)</f>
        <v>-6.5644104445320803E-2</v>
      </c>
      <c r="E28" s="12">
        <f>LN('기초 데이터'!L29/'기초 데이터'!L28)</f>
        <v>3.3441154420312112E-2</v>
      </c>
    </row>
    <row r="29" spans="1:5">
      <c r="A29" s="13">
        <v>39994</v>
      </c>
      <c r="B29" s="12">
        <f>LN('기초 데이터'!C30/'기초 데이터'!C29)</f>
        <v>-6.2879652106087201E-3</v>
      </c>
      <c r="C29" s="12">
        <f>LN('기초 데이터'!F30/'기초 데이터'!F29)</f>
        <v>-5.359378288636537E-2</v>
      </c>
      <c r="D29" s="12">
        <f>LN('기초 데이터'!I30/'기초 데이터'!I29)</f>
        <v>7.1383884897928077E-3</v>
      </c>
      <c r="E29" s="12">
        <f>LN('기초 데이터'!L30/'기초 데이터'!L29)</f>
        <v>1.7975792668176969E-2</v>
      </c>
    </row>
    <row r="30" spans="1:5">
      <c r="A30" s="13">
        <v>40025</v>
      </c>
      <c r="B30" s="12">
        <f>LN('기초 데이터'!C31/'기초 데이터'!C30)</f>
        <v>7.1953863156541356E-2</v>
      </c>
      <c r="C30" s="12">
        <f>LN('기초 데이터'!F31/'기초 데이터'!F30)</f>
        <v>2.35202952024362E-2</v>
      </c>
      <c r="D30" s="12">
        <f>LN('기초 데이터'!I31/'기초 데이터'!I30)</f>
        <v>-2.4567097455173294E-2</v>
      </c>
      <c r="E30" s="12">
        <f>LN('기초 데이터'!L31/'기초 데이터'!L30)</f>
        <v>8.4250456127491422E-2</v>
      </c>
    </row>
    <row r="31" spans="1:5">
      <c r="A31" s="13">
        <v>40056</v>
      </c>
      <c r="B31" s="12">
        <f>LN('기초 데이터'!C32/'기초 데이터'!C31)</f>
        <v>3.6273664304184751E-2</v>
      </c>
      <c r="C31" s="12">
        <f>LN('기초 데이터'!F32/'기초 데이터'!F31)</f>
        <v>5.3547524706532847E-4</v>
      </c>
      <c r="D31" s="12">
        <f>LN('기초 데이터'!I32/'기초 데이터'!I31)</f>
        <v>-2.5762143917732521E-3</v>
      </c>
      <c r="E31" s="12">
        <f>LN('기초 데이터'!L32/'기초 데이터'!L31)</f>
        <v>2.8910411093922426E-2</v>
      </c>
    </row>
    <row r="32" spans="1:5">
      <c r="A32" s="13">
        <v>40086</v>
      </c>
      <c r="B32" s="12">
        <f>LN('기초 데이터'!C33/'기초 데이터'!C32)</f>
        <v>3.009119130736683E-2</v>
      </c>
      <c r="C32" s="12">
        <f>LN('기초 데이터'!F33/'기초 데이터'!F32)</f>
        <v>5.6712204381828869E-2</v>
      </c>
      <c r="D32" s="12">
        <f>LN('기초 데이터'!I33/'기초 데이터'!I32)</f>
        <v>-2.0413303832925566E-2</v>
      </c>
      <c r="E32" s="12">
        <f>LN('기초 데이터'!L33/'기초 데이터'!L32)</f>
        <v>5.1782685105885858E-2</v>
      </c>
    </row>
    <row r="33" spans="1:5">
      <c r="A33" s="13">
        <v>40116</v>
      </c>
      <c r="B33" s="12">
        <f>LN('기초 데이터'!C34/'기초 데이터'!C33)</f>
        <v>-1.9412514935086111E-2</v>
      </c>
      <c r="C33" s="12">
        <f>LN('기초 데이터'!F34/'기초 데이터'!F33)</f>
        <v>3.6551889065374099E-2</v>
      </c>
      <c r="D33" s="12">
        <f>LN('기초 데이터'!I34/'기초 데이터'!I33)</f>
        <v>-3.9569187702358953E-3</v>
      </c>
      <c r="E33" s="12">
        <f>LN('기초 데이터'!L34/'기초 데이터'!L33)</f>
        <v>-6.71093305850156E-2</v>
      </c>
    </row>
    <row r="34" spans="1:5">
      <c r="A34" s="13">
        <v>40147</v>
      </c>
      <c r="B34" s="12">
        <f>LN('기초 데이터'!C35/'기초 데이터'!C34)</f>
        <v>5.9783607549177387E-2</v>
      </c>
      <c r="C34" s="12">
        <f>LN('기초 데이터'!F35/'기초 데이터'!F34)</f>
        <v>0.12032647846614554</v>
      </c>
      <c r="D34" s="12">
        <f>LN('기초 데이터'!I35/'기초 데이터'!I34)</f>
        <v>-2.3624900859136762E-2</v>
      </c>
      <c r="E34" s="12">
        <f>LN('기초 데이터'!L35/'기초 데이터'!L34)</f>
        <v>3.0766279097818591E-2</v>
      </c>
    </row>
    <row r="35" spans="1:5">
      <c r="A35" s="13">
        <v>40177</v>
      </c>
      <c r="B35" s="12">
        <f>LN('기초 데이터'!C36/'기초 데이터'!C35)</f>
        <v>2.3196221189141782E-2</v>
      </c>
      <c r="C35" s="12">
        <f>LN('기초 데이터'!F36/'기초 데이터'!F35)</f>
        <v>-7.830750237957998E-2</v>
      </c>
      <c r="D35" s="12">
        <f>LN('기초 데이터'!I36/'기초 데이터'!I35)</f>
        <v>3.8491812199470364E-2</v>
      </c>
      <c r="E35" s="12">
        <f>LN('기초 데이터'!L36/'기초 데이터'!L35)</f>
        <v>8.4152528780922761E-2</v>
      </c>
    </row>
    <row r="36" spans="1:5">
      <c r="A36" s="13">
        <v>40207</v>
      </c>
      <c r="B36" s="12">
        <f>LN('기초 데이터'!C37/'기초 데이터'!C36)</f>
        <v>-4.66639157515309E-2</v>
      </c>
      <c r="C36" s="12">
        <f>LN('기초 데이터'!F37/'기초 데이터'!F36)</f>
        <v>-9.1127503646963731E-3</v>
      </c>
      <c r="D36" s="12">
        <f>LN('기초 데이터'!I37/'기초 데이터'!I36)</f>
        <v>1.7638659064597832E-2</v>
      </c>
      <c r="E36" s="12">
        <f>LN('기초 데이터'!L37/'기초 데이터'!L36)</f>
        <v>-4.9969843734293223E-2</v>
      </c>
    </row>
    <row r="37" spans="1:5">
      <c r="A37" s="13">
        <v>40235</v>
      </c>
      <c r="B37" s="12">
        <f>LN('기초 데이터'!C38/'기초 데이터'!C37)</f>
        <v>3.0718043524695874E-2</v>
      </c>
      <c r="C37" s="12">
        <f>LN('기초 데이터'!F38/'기초 데이터'!F37)</f>
        <v>3.2223411026482886E-2</v>
      </c>
      <c r="D37" s="12">
        <f>LN('기초 데이터'!I38/'기초 데이터'!I37)</f>
        <v>8.0696976456090825E-3</v>
      </c>
      <c r="E37" s="12">
        <f>LN('기초 데이터'!L38/'기초 데이터'!L37)</f>
        <v>4.3778856423082192E-2</v>
      </c>
    </row>
    <row r="38" spans="1:5">
      <c r="A38" s="13">
        <v>40268</v>
      </c>
      <c r="B38" s="12">
        <f>LN('기초 데이터'!C39/'기초 데이터'!C38)</f>
        <v>5.4988823402935101E-2</v>
      </c>
      <c r="C38" s="12">
        <f>LN('기초 데이터'!F39/'기초 데이터'!F38)</f>
        <v>-4.3960140397227799E-3</v>
      </c>
      <c r="D38" s="12">
        <f>LN('기초 데이터'!I39/'기초 데이터'!I38)</f>
        <v>6.7453881395316551E-3</v>
      </c>
      <c r="E38" s="12">
        <f>LN('기초 데이터'!L39/'기초 데이터'!L38)</f>
        <v>7.6607121472196976E-2</v>
      </c>
    </row>
    <row r="39" spans="1:5">
      <c r="A39" s="13">
        <v>40298</v>
      </c>
      <c r="B39" s="12">
        <f>LN('기초 데이터'!C40/'기초 데이터'!C39)</f>
        <v>1.5351643672439991E-2</v>
      </c>
      <c r="C39" s="12">
        <f>LN('기초 데이터'!F40/'기초 데이터'!F39)</f>
        <v>5.7168612146010045E-2</v>
      </c>
      <c r="D39" s="12">
        <f>LN('기초 데이터'!I40/'기초 데이터'!I39)</f>
        <v>6.7001925698195654E-3</v>
      </c>
      <c r="E39" s="12">
        <f>LN('기초 데이터'!L40/'기초 데이터'!L39)</f>
        <v>5.5230959327831071E-2</v>
      </c>
    </row>
    <row r="40" spans="1:5">
      <c r="A40" s="13">
        <v>40326</v>
      </c>
      <c r="B40" s="12">
        <f>LN('기초 데이터'!C41/'기초 데이터'!C40)</f>
        <v>-8.2788949123061631E-2</v>
      </c>
      <c r="C40" s="12">
        <f>LN('기초 데이터'!F41/'기초 데이터'!F40)</f>
        <v>3.0056907432810077E-2</v>
      </c>
      <c r="D40" s="12">
        <f>LN('기초 데이터'!I41/'기초 데이터'!I40)</f>
        <v>5.5998401645744385E-2</v>
      </c>
      <c r="E40" s="12">
        <f>LN('기초 데이터'!L41/'기초 데이터'!L40)</f>
        <v>-7.8357689407849346E-2</v>
      </c>
    </row>
    <row r="41" spans="1:5">
      <c r="A41" s="13">
        <v>40359</v>
      </c>
      <c r="B41" s="12">
        <f>LN('기초 데이터'!C42/'기초 데이터'!C41)</f>
        <v>-5.7873996626553313E-2</v>
      </c>
      <c r="C41" s="12">
        <f>LN('기초 데이터'!F42/'기초 데이터'!F41)</f>
        <v>2.3280066981588386E-2</v>
      </c>
      <c r="D41" s="12">
        <f>LN('기초 데이터'!I42/'기초 데이터'!I41)</f>
        <v>-1.1111225425070835E-2</v>
      </c>
      <c r="E41" s="12">
        <f>LN('기초 데이터'!L42/'기초 데이터'!L41)</f>
        <v>-8.0596320008066602E-2</v>
      </c>
    </row>
    <row r="42" spans="1:5">
      <c r="A42" s="13">
        <v>40389</v>
      </c>
      <c r="B42" s="12">
        <f>LN('기초 데이터'!C43/'기초 데이터'!C42)</f>
        <v>6.6069271050006012E-2</v>
      </c>
      <c r="C42" s="12">
        <f>LN('기초 데이터'!F43/'기초 데이터'!F42)</f>
        <v>-5.221070182404141E-2</v>
      </c>
      <c r="D42" s="12">
        <f>LN('기초 데이터'!I43/'기초 데이터'!I42)</f>
        <v>-5.4111560286400288E-2</v>
      </c>
      <c r="E42" s="12">
        <f>LN('기초 데이터'!L43/'기초 데이터'!L42)</f>
        <v>6.1855770017494274E-2</v>
      </c>
    </row>
    <row r="43" spans="1:5">
      <c r="A43" s="13">
        <v>40421</v>
      </c>
      <c r="B43" s="12">
        <f>LN('기초 데이터'!C44/'기초 데이터'!C43)</f>
        <v>-4.6023522378081216E-2</v>
      </c>
      <c r="C43" s="12">
        <f>LN('기초 데이터'!F44/'기초 데이터'!F43)</f>
        <v>5.5492621409150795E-2</v>
      </c>
      <c r="D43" s="12">
        <f>LN('기초 데이터'!I44/'기초 데이터'!I43)</f>
        <v>1.587998267746283E-2</v>
      </c>
      <c r="E43" s="12">
        <f>LN('기초 데이터'!L44/'기초 데이터'!L43)</f>
        <v>-7.7354843673860071E-2</v>
      </c>
    </row>
    <row r="44" spans="1:5">
      <c r="A44" s="13">
        <v>40451</v>
      </c>
      <c r="B44" s="12">
        <f>LN('기초 데이터'!C45/'기초 데이터'!C44)</f>
        <v>8.0429768173002861E-2</v>
      </c>
      <c r="C44" s="12">
        <f>LN('기초 데이터'!F45/'기초 데이터'!F44)</f>
        <v>4.6650324075154972E-2</v>
      </c>
      <c r="D44" s="12">
        <f>LN('기초 데이터'!I45/'기초 데이터'!I44)</f>
        <v>-5.4527987071175323E-2</v>
      </c>
      <c r="E44" s="12">
        <f>LN('기초 데이터'!L45/'기초 데이터'!L44)</f>
        <v>0.11478752667658497</v>
      </c>
    </row>
    <row r="45" spans="1:5">
      <c r="A45" s="13">
        <v>40480</v>
      </c>
      <c r="B45" s="12">
        <f>LN('기초 데이터'!C46/'기초 데이터'!C45)</f>
        <v>3.7490419263139986E-2</v>
      </c>
      <c r="C45" s="12">
        <f>LN('기초 데이터'!F46/'기초 데이터'!F45)</f>
        <v>3.6161004329419877E-2</v>
      </c>
      <c r="D45" s="12">
        <f>LN('기초 데이터'!I46/'기초 데이터'!I45)</f>
        <v>-2.0792609285771178E-2</v>
      </c>
      <c r="E45" s="12">
        <f>LN('기초 데이터'!L46/'기초 데이터'!L45)</f>
        <v>4.0644200938135054E-2</v>
      </c>
    </row>
    <row r="46" spans="1:5">
      <c r="A46" s="13">
        <v>40512</v>
      </c>
      <c r="B46" s="12">
        <f>LN('기초 데이터'!C47/'기초 데이터'!C46)</f>
        <v>0</v>
      </c>
      <c r="C46" s="12">
        <f>LN('기초 데이터'!F47/'기초 데이터'!F46)</f>
        <v>2.0893164116777548E-2</v>
      </c>
      <c r="D46" s="12">
        <f>LN('기초 데이터'!I47/'기초 데이터'!I46)</f>
        <v>4.9279645648074993E-2</v>
      </c>
      <c r="E46" s="12">
        <f>LN('기초 데이터'!L47/'기초 데이터'!L46)</f>
        <v>3.4257107234982681E-2</v>
      </c>
    </row>
    <row r="47" spans="1:5">
      <c r="A47" s="13">
        <v>40542</v>
      </c>
      <c r="B47" s="12">
        <f>LN('기초 데이터'!C48/'기초 데이터'!C47)</f>
        <v>5.9228643100718376E-2</v>
      </c>
      <c r="C47" s="12">
        <f>LN('기초 데이터'!F48/'기초 데이터'!F47)</f>
        <v>1.1818819900610343E-2</v>
      </c>
      <c r="D47" s="12">
        <f>LN('기초 데이터'!I48/'기초 데이터'!I47)</f>
        <v>-2.499052930357434E-2</v>
      </c>
      <c r="E47" s="12">
        <f>LN('기초 데이터'!L48/'기초 데이터'!L47)</f>
        <v>7.937634771932299E-2</v>
      </c>
    </row>
    <row r="48" spans="1:5">
      <c r="A48" s="13">
        <v>40574</v>
      </c>
      <c r="B48" s="12">
        <f>LN('기초 데이터'!C49/'기초 데이터'!C48)</f>
        <v>2.32714904414589E-2</v>
      </c>
      <c r="C48" s="12">
        <f>LN('기초 데이터'!F49/'기초 데이터'!F48)</f>
        <v>-5.3665929836110682E-2</v>
      </c>
      <c r="D48" s="12">
        <f>LN('기초 데이터'!I49/'기초 데이터'!I48)</f>
        <v>-2.4736243559640506E-2</v>
      </c>
      <c r="E48" s="12">
        <f>LN('기초 데이터'!L49/'기초 데이터'!L48)</f>
        <v>-1.0337658267139246E-2</v>
      </c>
    </row>
    <row r="49" spans="1:5">
      <c r="A49" s="13">
        <v>40602</v>
      </c>
      <c r="B49" s="12">
        <f>LN('기초 데이터'!C50/'기초 데이터'!C49)</f>
        <v>3.4147609889115617E-2</v>
      </c>
      <c r="C49" s="12">
        <f>LN('기초 데이터'!F50/'기초 데이터'!F49)</f>
        <v>5.8252926848219241E-2</v>
      </c>
      <c r="D49" s="12">
        <f>LN('기초 데이터'!I50/'기초 데이터'!I49)</f>
        <v>-1.21486308548726E-2</v>
      </c>
      <c r="E49" s="12">
        <f>LN('기초 데이터'!L50/'기초 데이터'!L49)</f>
        <v>5.3938925677053294E-2</v>
      </c>
    </row>
    <row r="50" spans="1:5">
      <c r="A50" s="13">
        <v>40633</v>
      </c>
      <c r="B50" s="12">
        <f>LN('기초 데이터'!C51/'기초 데이터'!C50)</f>
        <v>-4.2146521333138228E-3</v>
      </c>
      <c r="C50" s="12">
        <f>LN('기초 데이터'!F51/'기초 데이터'!F50)</f>
        <v>1.5855045305502812E-2</v>
      </c>
      <c r="D50" s="12">
        <f>LN('기초 데이터'!I51/'기초 데이터'!I50)</f>
        <v>-1.367386847549734E-2</v>
      </c>
      <c r="E50" s="12">
        <f>LN('기초 데이터'!L51/'기초 데이터'!L50)</f>
        <v>2.2832042042645908E-2</v>
      </c>
    </row>
    <row r="51" spans="1:5">
      <c r="A51" s="13">
        <v>40662</v>
      </c>
      <c r="B51" s="12">
        <f>LN('기초 데이터'!C52/'기초 데이터'!C51)</f>
        <v>2.8550002448155386E-2</v>
      </c>
      <c r="C51" s="12">
        <f>LN('기초 데이터'!F52/'기초 데이터'!F51)</f>
        <v>8.5669851205542574E-2</v>
      </c>
      <c r="D51" s="12">
        <f>LN('기초 데이터'!I52/'기초 데이터'!I51)</f>
        <v>-3.9312502588381731E-2</v>
      </c>
      <c r="E51" s="12">
        <f>LN('기초 데이터'!L52/'기초 데이터'!L51)</f>
        <v>2.6033365147308064E-2</v>
      </c>
    </row>
    <row r="52" spans="1:5">
      <c r="A52" s="13">
        <v>40694</v>
      </c>
      <c r="B52" s="12">
        <f>LN('기초 데이터'!C53/'기초 데이터'!C52)</f>
        <v>-1.12778993610726E-2</v>
      </c>
      <c r="C52" s="12">
        <f>LN('기초 데이터'!F53/'기초 데이터'!F52)</f>
        <v>-1.8079364001318043E-2</v>
      </c>
      <c r="D52" s="12">
        <f>LN('기초 데이터'!I53/'기초 데이터'!I52)</f>
        <v>1.8444599505460534E-2</v>
      </c>
      <c r="E52" s="12">
        <f>LN('기초 데이터'!L53/'기초 데이터'!L52)</f>
        <v>-1.8104798674311116E-2</v>
      </c>
    </row>
    <row r="53" spans="1:5">
      <c r="A53" s="13">
        <v>40724</v>
      </c>
      <c r="B53" s="12">
        <f>LN('기초 데이터'!C54/'기초 데이터'!C53)</f>
        <v>-2.1959139184972117E-2</v>
      </c>
      <c r="C53" s="12">
        <f>LN('기초 데이터'!F54/'기초 데이터'!F53)</f>
        <v>-2.4625787771608825E-2</v>
      </c>
      <c r="D53" s="12">
        <f>LN('기초 데이터'!I54/'기초 데이터'!I53)</f>
        <v>-5.6391126877702617E-3</v>
      </c>
      <c r="E53" s="12">
        <f>LN('기초 데이터'!L54/'기초 데이터'!L53)</f>
        <v>-2.4339068305267744E-2</v>
      </c>
    </row>
    <row r="54" spans="1:5">
      <c r="A54" s="13">
        <v>40753</v>
      </c>
      <c r="B54" s="12">
        <f>LN('기초 데이터'!C55/'기초 데이터'!C54)</f>
        <v>-2.0207346601584995E-2</v>
      </c>
      <c r="C54" s="12">
        <f>LN('기초 데이터'!F55/'기초 데이터'!F54)</f>
        <v>8.0822171989310534E-2</v>
      </c>
      <c r="D54" s="12">
        <f>LN('기초 데이터'!I55/'기초 데이터'!I54)</f>
        <v>-8.9941434712285384E-3</v>
      </c>
      <c r="E54" s="12">
        <f>LN('기초 데이터'!L55/'기초 데이터'!L54)</f>
        <v>-3.7656719438005054E-2</v>
      </c>
    </row>
    <row r="55" spans="1:5">
      <c r="A55" s="13">
        <v>40786</v>
      </c>
      <c r="B55" s="12">
        <f>LN('기초 데이터'!C56/'기초 데이터'!C55)</f>
        <v>-5.654457796038357E-2</v>
      </c>
      <c r="C55" s="12">
        <f>LN('기초 데이터'!F56/'기초 데이터'!F55)</f>
        <v>0.11578048437006086</v>
      </c>
      <c r="D55" s="12">
        <f>LN('기초 데이터'!I56/'기초 데이터'!I55)</f>
        <v>1.9002381014892899E-3</v>
      </c>
      <c r="E55" s="12">
        <f>LN('기초 데이터'!L56/'기초 데이터'!L55)</f>
        <v>-9.3117951936916854E-2</v>
      </c>
    </row>
    <row r="56" spans="1:5">
      <c r="A56" s="13">
        <v>40816</v>
      </c>
      <c r="B56" s="12">
        <f>LN('기초 데이터'!C57/'기초 데이터'!C56)</f>
        <v>-7.7108327387223022E-2</v>
      </c>
      <c r="C56" s="12">
        <f>LN('기초 데이터'!F57/'기초 데이터'!F56)</f>
        <v>-0.11723457029087843</v>
      </c>
      <c r="D56" s="12">
        <f>LN('기초 데이터'!I57/'기초 데이터'!I56)</f>
        <v>5.7184780628343423E-2</v>
      </c>
      <c r="E56" s="12">
        <f>LN('기초 데이터'!L57/'기초 데이터'!L56)</f>
        <v>-0.1220937587727183</v>
      </c>
    </row>
    <row r="57" spans="1:5">
      <c r="A57" s="13">
        <v>40847</v>
      </c>
      <c r="B57" s="12">
        <f>LN('기초 데이터'!C58/'기초 데이터'!C57)</f>
        <v>0.1035913864922922</v>
      </c>
      <c r="C57" s="12">
        <f>LN('기초 데이터'!F58/'기초 데이터'!F57)</f>
        <v>5.7052963090623389E-2</v>
      </c>
      <c r="D57" s="12">
        <f>LN('기초 데이터'!I58/'기초 데이터'!I57)</f>
        <v>-3.3731548043376025E-2</v>
      </c>
      <c r="E57" s="12">
        <f>LN('기초 데이터'!L58/'기초 데이터'!L57)</f>
        <v>0.14064058796580142</v>
      </c>
    </row>
    <row r="58" spans="1:5">
      <c r="A58" s="13">
        <v>40877</v>
      </c>
      <c r="B58" s="12">
        <f>LN('기초 데이터'!C59/'기초 데이터'!C58)</f>
        <v>-4.0720244697081617E-3</v>
      </c>
      <c r="C58" s="12">
        <f>LN('기초 데이터'!F59/'기초 데이터'!F58)</f>
        <v>1.653517982659361E-2</v>
      </c>
      <c r="D58" s="12">
        <f>LN('기초 데이터'!I59/'기초 데이터'!I58)</f>
        <v>2.24625534242914E-2</v>
      </c>
      <c r="E58" s="12">
        <f>LN('기초 데이터'!L59/'기초 데이터'!L58)</f>
        <v>-3.7904472078157886E-3</v>
      </c>
    </row>
    <row r="59" spans="1:5">
      <c r="A59" s="13">
        <v>40906</v>
      </c>
      <c r="B59" s="12">
        <f>LN('기초 데이터'!C60/'기초 데이터'!C59)</f>
        <v>9.0001005747296411E-3</v>
      </c>
      <c r="C59" s="12">
        <f>LN('기초 데이터'!F60/'기초 데이터'!F59)</f>
        <v>-0.12366345494472347</v>
      </c>
      <c r="D59" s="12">
        <f>LN('기초 데이터'!I60/'기초 데이터'!I59)</f>
        <v>2.0193641093284576E-2</v>
      </c>
      <c r="E59" s="12">
        <f>LN('기초 데이터'!L60/'기초 데이터'!L59)</f>
        <v>5.6802965823819582E-3</v>
      </c>
    </row>
    <row r="60" spans="1:5">
      <c r="A60" s="13">
        <v>40939</v>
      </c>
      <c r="B60" s="12">
        <f>LN('기초 데이터'!C61/'기초 데이터'!C60)</f>
        <v>4.0403257956531713E-2</v>
      </c>
      <c r="C60" s="12">
        <f>LN('기초 데이터'!F61/'기초 데이터'!F60)</f>
        <v>0.11883195839081769</v>
      </c>
      <c r="D60" s="12">
        <f>LN('기초 데이터'!I61/'기초 데이터'!I60)</f>
        <v>-1.74774782645068E-2</v>
      </c>
      <c r="E60" s="12">
        <f>LN('기초 데이터'!L61/'기초 데이터'!L60)</f>
        <v>6.3610916399303524E-2</v>
      </c>
    </row>
    <row r="61" spans="1:5">
      <c r="A61" s="13">
        <v>40968</v>
      </c>
      <c r="B61" s="12">
        <f>LN('기초 데이터'!C62/'기초 데이터'!C61)</f>
        <v>4.2489807941361105E-2</v>
      </c>
      <c r="C61" s="12">
        <f>LN('기초 데이터'!F62/'기초 데이터'!F61)</f>
        <v>-3.0098195221895056E-2</v>
      </c>
      <c r="D61" s="12">
        <f>LN('기초 데이터'!I62/'기초 데이터'!I61)</f>
        <v>-7.2595600128042229E-3</v>
      </c>
      <c r="E61" s="12">
        <f>LN('기초 데이터'!L62/'기초 데이터'!L61)</f>
        <v>2.5365263198440513E-2</v>
      </c>
    </row>
    <row r="62" spans="1:5">
      <c r="A62" s="13">
        <v>40998</v>
      </c>
      <c r="B62" s="12">
        <f>LN('기초 데이터'!C63/'기초 데이터'!C62)</f>
        <v>2.7284563354467137E-2</v>
      </c>
      <c r="C62" s="12">
        <f>LN('기초 데이터'!F63/'기초 데이터'!F62)</f>
        <v>-1.3296357158137574E-2</v>
      </c>
      <c r="D62" s="12">
        <f>LN('기초 데이터'!I63/'기초 데이터'!I62)</f>
        <v>-2.2794630339547498E-3</v>
      </c>
      <c r="E62" s="12">
        <f>LN('기초 데이터'!L63/'기초 데이터'!L62)</f>
        <v>2.1482578863923685E-2</v>
      </c>
    </row>
    <row r="63" spans="1:5">
      <c r="A63" s="13">
        <v>41029</v>
      </c>
      <c r="B63" s="12">
        <f>LN('기초 데이터'!C64/'기초 데이터'!C63)</f>
        <v>-6.6980441380076593E-3</v>
      </c>
      <c r="C63" s="12">
        <f>LN('기초 데이터'!F64/'기초 데이터'!F63)</f>
        <v>-1.4814817524430284E-3</v>
      </c>
      <c r="D63" s="12">
        <f>LN('기초 데이터'!I64/'기초 데이터'!I63)</f>
        <v>-4.5745733938375721E-3</v>
      </c>
      <c r="E63" s="12">
        <f>LN('기초 데이터'!L64/'기초 데이터'!L63)</f>
        <v>-1.631397272305839E-2</v>
      </c>
    </row>
    <row r="64" spans="1:5">
      <c r="A64" s="13">
        <v>41060</v>
      </c>
      <c r="B64" s="12">
        <f>LN('기초 데이터'!C65/'기초 데이터'!C64)</f>
        <v>-6.1934731082699666E-2</v>
      </c>
      <c r="C64" s="12">
        <f>LN('기초 데이터'!F65/'기초 데이터'!F64)</f>
        <v>-6.5477929379506875E-2</v>
      </c>
      <c r="D64" s="12">
        <f>LN('기초 데이터'!I65/'기초 데이터'!I64)</f>
        <v>5.2690758561552392E-2</v>
      </c>
      <c r="E64" s="12">
        <f>LN('기초 데이터'!L65/'기초 데이터'!L64)</f>
        <v>-6.8055192043250196E-2</v>
      </c>
    </row>
    <row r="65" spans="1:5">
      <c r="A65" s="13">
        <v>41089</v>
      </c>
      <c r="B65" s="12">
        <f>LN('기초 데이터'!C66/'기초 데이터'!C65)</f>
        <v>3.4684693635469499E-2</v>
      </c>
      <c r="C65" s="12">
        <f>LN('기초 데이터'!F66/'기초 데이터'!F65)</f>
        <v>2.3272782055375432E-2</v>
      </c>
      <c r="D65" s="12">
        <f>LN('기초 데이터'!I66/'기초 데이터'!I65)</f>
        <v>-2.2878252577852313E-2</v>
      </c>
      <c r="E65" s="12">
        <f>LN('기초 데이터'!L66/'기초 데이터'!L65)</f>
        <v>4.433179170647137E-2</v>
      </c>
    </row>
    <row r="66" spans="1:5">
      <c r="A66" s="13">
        <v>41121</v>
      </c>
      <c r="B66" s="12">
        <f>LN('기초 데이터'!C67/'기초 데이터'!C66)</f>
        <v>1.1686642395052358E-2</v>
      </c>
      <c r="C66" s="12">
        <f>LN('기초 데이터'!F67/'기초 데이터'!F66)</f>
        <v>8.3419374915472532E-3</v>
      </c>
      <c r="D66" s="12">
        <f>LN('기초 데이터'!I67/'기초 데이터'!I66)</f>
        <v>1.0624269920229424E-2</v>
      </c>
      <c r="E66" s="12">
        <f>LN('기초 데이터'!L67/'기초 데이터'!L66)</f>
        <v>-1.5325485183741673E-2</v>
      </c>
    </row>
    <row r="67" spans="1:5">
      <c r="A67" s="13">
        <v>41152</v>
      </c>
      <c r="B67" s="12">
        <f>LN('기초 데이터'!C68/'기초 데이터'!C67)</f>
        <v>2.474397406803475E-2</v>
      </c>
      <c r="C67" s="12">
        <f>LN('기초 데이터'!F68/'기초 데이터'!F67)</f>
        <v>4.8214882105562087E-2</v>
      </c>
      <c r="D67" s="12">
        <f>LN('기초 데이터'!I68/'기초 데이터'!I67)</f>
        <v>-1.8218677651394066E-2</v>
      </c>
      <c r="E67" s="12">
        <f>LN('기초 데이터'!L68/'기초 데이터'!L67)</f>
        <v>3.4743571040843232E-2</v>
      </c>
    </row>
    <row r="68" spans="1:5">
      <c r="A68" s="13">
        <v>41180</v>
      </c>
      <c r="B68" s="12">
        <f>LN('기초 데이터'!C69/'기초 데이터'!C68)</f>
        <v>1.9710945731194588E-2</v>
      </c>
      <c r="C68" s="12">
        <f>LN('기초 데이터'!F69/'기초 데이터'!F68)</f>
        <v>4.5647745059422803E-2</v>
      </c>
      <c r="D68" s="12">
        <f>LN('기초 데이터'!I69/'기초 데이터'!I68)</f>
        <v>-1.7187216386258249E-2</v>
      </c>
      <c r="E68" s="12">
        <f>LN('기초 데이터'!L69/'기초 데이터'!L68)</f>
        <v>2.819827084964379E-2</v>
      </c>
    </row>
    <row r="69" spans="1:5">
      <c r="A69" s="13">
        <v>41213</v>
      </c>
      <c r="B69" s="12">
        <f>LN('기초 데이터'!C70/'기초 데이터'!C69)</f>
        <v>-1.8365860398664533E-2</v>
      </c>
      <c r="C69" s="12">
        <f>LN('기초 데이터'!F70/'기초 데이터'!F69)</f>
        <v>-2.9879407472483081E-2</v>
      </c>
      <c r="D69" s="12">
        <f>LN('기초 데이터'!I70/'기초 데이터'!I69)</f>
        <v>-1.3695505450432744E-3</v>
      </c>
      <c r="E69" s="12">
        <f>LN('기초 데이터'!L70/'기초 데이터'!L69)</f>
        <v>-2.1930969229252383E-2</v>
      </c>
    </row>
    <row r="70" spans="1:5">
      <c r="A70" s="13">
        <v>41243</v>
      </c>
      <c r="B70" s="12">
        <f>LN('기초 데이터'!C71/'기초 데이터'!C70)</f>
        <v>5.7140997067964844E-3</v>
      </c>
      <c r="C70" s="12">
        <f>LN('기초 데이터'!F71/'기초 데이터'!F70)</f>
        <v>-4.6863820448266955E-3</v>
      </c>
      <c r="D70" s="12">
        <f>LN('기초 데이터'!I71/'기초 데이터'!I70)</f>
        <v>1.3695505450433505E-3</v>
      </c>
      <c r="E70" s="12">
        <f>LN('기초 데이터'!L71/'기초 데이터'!L70)</f>
        <v>5.4975399591947836E-3</v>
      </c>
    </row>
    <row r="71" spans="1:5">
      <c r="A71" s="13">
        <v>41271</v>
      </c>
      <c r="B71" s="12">
        <f>LN('기초 데이터'!C72/'기초 데이터'!C71)</f>
        <v>-1.5096498478710189E-2</v>
      </c>
      <c r="C71" s="12">
        <f>LN('기초 데이터'!F72/'기초 데이터'!F71)</f>
        <v>-3.374581511932484E-2</v>
      </c>
      <c r="D71" s="12">
        <f>LN('기초 데이터'!I72/'기초 데이터'!I71)</f>
        <v>-6.407344575000435E-3</v>
      </c>
      <c r="E71" s="12">
        <f>LN('기초 데이터'!L72/'기초 데이터'!L71)</f>
        <v>5.4674821821333944E-3</v>
      </c>
    </row>
    <row r="72" spans="1:5">
      <c r="A72" s="13">
        <v>41305</v>
      </c>
      <c r="B72" s="12">
        <f>LN('기초 데이터'!C73/'기초 데이터'!C72)</f>
        <v>6.6776606057896815E-2</v>
      </c>
      <c r="C72" s="12">
        <f>LN('기초 데이터'!F73/'기초 데이터'!F72)</f>
        <v>4.1026973690970366E-3</v>
      </c>
      <c r="D72" s="12">
        <f>LN('기초 데이터'!I73/'기초 데이터'!I72)</f>
        <v>-7.373305293752231E-3</v>
      </c>
      <c r="E72" s="12">
        <f>LN('기초 데이터'!L73/'기초 데이터'!L72)</f>
        <v>8.1970217174561169E-2</v>
      </c>
    </row>
    <row r="73" spans="1:5">
      <c r="A73" s="13">
        <v>41333</v>
      </c>
      <c r="B73" s="12">
        <f>LN('기초 데이터'!C74/'기초 데이터'!C73)</f>
        <v>1.2678142667907876E-2</v>
      </c>
      <c r="C73" s="12">
        <f>LN('기초 데이터'!F74/'기초 데이터'!F73)</f>
        <v>-5.2207908680092431E-2</v>
      </c>
      <c r="D73" s="12">
        <f>LN('기초 데이터'!I74/'기초 데이터'!I73)</f>
        <v>3.4101963290975965E-2</v>
      </c>
      <c r="E73" s="12">
        <f>LN('기초 데이터'!L74/'기초 데이터'!L73)</f>
        <v>9.996751028711108E-3</v>
      </c>
    </row>
    <row r="74" spans="1:5">
      <c r="A74" s="13">
        <v>41361</v>
      </c>
      <c r="B74" s="12">
        <f>LN('기초 데이터'!C75/'기초 데이터'!C74)</f>
        <v>3.2830248311905307E-2</v>
      </c>
      <c r="C74" s="12">
        <f>LN('기초 데이터'!F75/'기초 데이터'!F74)</f>
        <v>9.5619813337241427E-3</v>
      </c>
      <c r="D74" s="12">
        <f>LN('기초 데이터'!I75/'기초 데이터'!I74)</f>
        <v>1.0229130776201866E-2</v>
      </c>
      <c r="E74" s="12">
        <f>LN('기초 데이터'!L75/'기초 데이터'!L74)</f>
        <v>4.272998746711288E-2</v>
      </c>
    </row>
    <row r="75" spans="1:5">
      <c r="A75" s="13">
        <v>41394</v>
      </c>
      <c r="B75" s="12">
        <f>LN('기초 데이터'!C76/'기초 데이터'!C75)</f>
        <v>1.9030130157758236E-2</v>
      </c>
      <c r="C75" s="12">
        <f>LN('기초 데이터'!F76/'기초 데이터'!F75)</f>
        <v>-7.8764958925030853E-2</v>
      </c>
      <c r="D75" s="12">
        <f>LN('기초 데이터'!I76/'기초 데이터'!I75)</f>
        <v>-1.7857617400006572E-2</v>
      </c>
      <c r="E75" s="12">
        <f>LN('기초 데이터'!L76/'기초 데이터'!L75)</f>
        <v>-3.5007726836440078E-3</v>
      </c>
    </row>
    <row r="76" spans="1:5">
      <c r="A76" s="13">
        <v>41425</v>
      </c>
      <c r="B76" s="12">
        <f>LN('기초 데이터'!C77/'기초 데이터'!C76)</f>
        <v>2.3335320607065602E-2</v>
      </c>
      <c r="C76" s="12">
        <f>LN('기초 데이터'!F77/'기초 데이터'!F76)</f>
        <v>-6.3992337059963753E-2</v>
      </c>
      <c r="D76" s="12">
        <f>LN('기초 데이터'!I77/'기초 데이터'!I76)</f>
        <v>1.829999741164464E-2</v>
      </c>
      <c r="E76" s="12">
        <f>LN('기초 데이터'!L77/'기초 데이터'!L76)</f>
        <v>3.856653044943769E-2</v>
      </c>
    </row>
    <row r="77" spans="1:5">
      <c r="A77" s="13">
        <v>41453</v>
      </c>
      <c r="B77" s="12">
        <f>LN('기초 데이터'!C78/'기초 데이터'!C77)</f>
        <v>-1.8711757231441146E-2</v>
      </c>
      <c r="C77" s="12">
        <f>LN('기초 데이터'!F78/'기초 데이터'!F77)</f>
        <v>-0.11719517084835557</v>
      </c>
      <c r="D77" s="12">
        <f>LN('기초 데이터'!I78/'기초 데이터'!I77)</f>
        <v>-2.213859660020339E-3</v>
      </c>
      <c r="E77" s="12">
        <f>LN('기초 데이터'!L78/'기초 데이터'!L77)</f>
        <v>-8.2135985373887437E-3</v>
      </c>
    </row>
    <row r="78" spans="1:5">
      <c r="A78" s="13">
        <v>41486</v>
      </c>
      <c r="B78" s="12">
        <f>LN('기초 데이터'!C79/'기초 데이터'!C78)</f>
        <v>5.0385888679105137E-2</v>
      </c>
      <c r="C78" s="12">
        <f>LN('기초 데이터'!F79/'기초 데이터'!F78)</f>
        <v>7.1670279188507657E-2</v>
      </c>
      <c r="D78" s="12">
        <f>LN('기초 데이터'!I79/'기초 데이터'!I78)</f>
        <v>-2.0600818106150946E-2</v>
      </c>
      <c r="E78" s="12">
        <f>LN('기초 데이터'!L79/'기초 데이터'!L78)</f>
        <v>6.6405334258177573E-2</v>
      </c>
    </row>
    <row r="79" spans="1:5">
      <c r="A79" s="13">
        <v>41516</v>
      </c>
      <c r="B79" s="12">
        <f>LN('기초 데이터'!C80/'기초 데이터'!C79)</f>
        <v>-3.0451263670693948E-2</v>
      </c>
      <c r="C79" s="12">
        <f>LN('기초 데이터'!F80/'기초 데이터'!F79)</f>
        <v>5.0738279501249983E-2</v>
      </c>
      <c r="D79" s="12">
        <f>LN('기초 데이터'!I80/'기초 데이터'!I79)</f>
        <v>4.0641284207954048E-3</v>
      </c>
      <c r="E79" s="12">
        <f>LN('기초 데이터'!L80/'기초 데이터'!L79)</f>
        <v>-3.2153328534772853E-2</v>
      </c>
    </row>
    <row r="80" spans="1:5">
      <c r="A80" s="13">
        <v>41547</v>
      </c>
      <c r="B80" s="12">
        <f>LN('기초 데이터'!C81/'기초 데이터'!C80)</f>
        <v>2.6293500494121401E-2</v>
      </c>
      <c r="C80" s="12">
        <f>LN('기초 데이터'!F81/'기초 데이터'!F80)</f>
        <v>-4.902046850648626E-2</v>
      </c>
      <c r="D80" s="12">
        <f>LN('기초 데이터'!I81/'기초 데이터'!I80)</f>
        <v>-2.5560496979535219E-2</v>
      </c>
      <c r="E80" s="12">
        <f>LN('기초 데이터'!L81/'기초 데이터'!L80)</f>
        <v>6.0214331735596219E-2</v>
      </c>
    </row>
    <row r="81" spans="1:5">
      <c r="A81" s="13">
        <v>41578</v>
      </c>
      <c r="B81" s="12">
        <f>LN('기초 데이터'!C82/'기초 데이터'!C81)</f>
        <v>4.5266599370488637E-2</v>
      </c>
      <c r="C81" s="12">
        <f>LN('기초 데이터'!F82/'기초 데이터'!F81)</f>
        <v>-3.4385779426377304E-3</v>
      </c>
      <c r="D81" s="12">
        <f>LN('기초 데이터'!I82/'기초 데이터'!I81)</f>
        <v>0</v>
      </c>
      <c r="E81" s="12">
        <f>LN('기초 데이터'!L82/'기초 데이터'!L81)</f>
        <v>2.3912168063591192E-2</v>
      </c>
    </row>
    <row r="82" spans="1:5">
      <c r="A82" s="13">
        <v>41607</v>
      </c>
      <c r="B82" s="12">
        <f>LN('기초 데이터'!C83/'기초 데이터'!C82)</f>
        <v>2.9206930454026218E-2</v>
      </c>
      <c r="C82" s="12">
        <f>LN('기초 데이터'!F83/'기초 데이터'!F82)</f>
        <v>-5.668882002995719E-2</v>
      </c>
      <c r="D82" s="12">
        <f>LN('기초 데이터'!I83/'기초 데이터'!I82)</f>
        <v>3.23102058144654E-3</v>
      </c>
      <c r="E82" s="12">
        <f>LN('기초 데이터'!L83/'기초 데이터'!L82)</f>
        <v>3.8801454741273264E-2</v>
      </c>
    </row>
    <row r="83" spans="1:5">
      <c r="A83" s="13">
        <v>41638</v>
      </c>
      <c r="B83" s="12">
        <f>LN('기초 데이터'!C84/'기초 데이터'!C83)</f>
        <v>1.5459986664137627E-2</v>
      </c>
      <c r="C83" s="12">
        <f>LN('기초 데이터'!F84/'기초 데이터'!F83)</f>
        <v>-4.4990432896909544E-2</v>
      </c>
      <c r="D83" s="12">
        <f>LN('기초 데이터'!I84/'기초 데이터'!I83)</f>
        <v>-9.7245498919948572E-3</v>
      </c>
      <c r="E83" s="12">
        <f>LN('기초 데이터'!L84/'기초 데이터'!L83)</f>
        <v>1.3823492213151708E-2</v>
      </c>
    </row>
    <row r="84" spans="1:5">
      <c r="A84" s="13">
        <v>41668</v>
      </c>
      <c r="B84" s="12">
        <f>LN('기초 데이터'!C85/'기초 데이터'!C84)</f>
        <v>-3.5831836710332604E-2</v>
      </c>
      <c r="C84" s="12">
        <f>LN('기초 데이터'!F85/'기초 데이터'!F84)</f>
        <v>5.9548406826619715E-2</v>
      </c>
      <c r="D84" s="12">
        <f>LN('기초 데이터'!I85/'기초 데이터'!I84)</f>
        <v>6.4935293105483115E-3</v>
      </c>
      <c r="E84" s="12">
        <f>LN('기초 데이터'!L85/'기초 데이터'!L84)</f>
        <v>-3.3125848225038015E-2</v>
      </c>
    </row>
    <row r="85" spans="1:5">
      <c r="A85" s="13">
        <v>41698</v>
      </c>
      <c r="B85" s="12">
        <f>LN('기초 데이터'!C86/'기초 데이터'!C85)</f>
        <v>4.9179418081986469E-2</v>
      </c>
      <c r="C85" s="12">
        <f>LN('기초 데이터'!F86/'기초 데이터'!F85)</f>
        <v>4.1190996407004916E-2</v>
      </c>
      <c r="D85" s="12">
        <f>LN('기초 데이터'!I86/'기초 데이터'!I85)</f>
        <v>-1.162533436806819E-2</v>
      </c>
      <c r="E85" s="12">
        <f>LN('기초 데이터'!L86/'기초 데이터'!L85)</f>
        <v>5.4019949110260021E-2</v>
      </c>
    </row>
    <row r="86" spans="1:5">
      <c r="A86" s="13">
        <v>41729</v>
      </c>
      <c r="B86" s="12">
        <f>LN('기초 데이터'!C87/'기초 데이터'!C86)</f>
        <v>3.8574920590114768E-3</v>
      </c>
      <c r="C86" s="12">
        <f>LN('기초 데이터'!F87/'기초 데이터'!F86)</f>
        <v>-3.1925650540469121E-2</v>
      </c>
      <c r="D86" s="12">
        <f>LN('기초 데이터'!I87/'기초 데이터'!I86)</f>
        <v>3.7348316056533041E-3</v>
      </c>
      <c r="E86" s="12">
        <f>LN('기초 데이터'!L87/'기초 데이터'!L86)</f>
        <v>-1.0091593383006378E-2</v>
      </c>
    </row>
    <row r="87" spans="1:5">
      <c r="A87" s="13">
        <v>41759</v>
      </c>
      <c r="B87" s="12">
        <f>LN('기초 데이터'!C88/'기초 데이터'!C87)</f>
        <v>6.927449636921431E-3</v>
      </c>
      <c r="C87" s="12">
        <f>LN('기초 데이터'!F88/'기초 데이터'!F87)</f>
        <v>4.9227392314252268E-3</v>
      </c>
      <c r="D87" s="12">
        <f>LN('기초 데이터'!I88/'기초 데이터'!I87)</f>
        <v>-8.4230727291087493E-3</v>
      </c>
      <c r="E87" s="12">
        <f>LN('기초 데이터'!L88/'기초 데이터'!L87)</f>
        <v>-3.819665456186816E-2</v>
      </c>
    </row>
    <row r="88" spans="1:5">
      <c r="A88" s="13">
        <v>41789</v>
      </c>
      <c r="B88" s="12">
        <f>LN('기초 데이터'!C89/'기초 데이터'!C88)</f>
        <v>2.2941240764470051E-2</v>
      </c>
      <c r="C88" s="12">
        <f>LN('기초 데이터'!F89/'기초 데이터'!F88)</f>
        <v>-3.098551585876836E-2</v>
      </c>
      <c r="D88" s="12">
        <f>LN('기초 데이터'!I89/'기초 데이터'!I88)</f>
        <v>8.8889474172459942E-3</v>
      </c>
      <c r="E88" s="12">
        <f>LN('기초 데이터'!L89/'기초 데이터'!L88)</f>
        <v>7.8278286202466962E-3</v>
      </c>
    </row>
    <row r="89" spans="1:5">
      <c r="A89" s="13">
        <v>41820</v>
      </c>
      <c r="B89" s="12">
        <f>LN('기초 데이터'!C90/'기초 데이터'!C89)</f>
        <v>1.5654284658902808E-2</v>
      </c>
      <c r="C89" s="12">
        <f>LN('기초 데이터'!F90/'기초 데이터'!F89)</f>
        <v>6.1274043829273733E-2</v>
      </c>
      <c r="D89" s="12">
        <f>LN('기초 데이터'!I90/'기초 데이터'!I89)</f>
        <v>-9.8292389768876408E-3</v>
      </c>
      <c r="E89" s="12">
        <f>LN('기초 데이터'!L90/'기초 데이터'!L89)</f>
        <v>5.1377465929201963E-2</v>
      </c>
    </row>
    <row r="90" spans="1:5">
      <c r="A90" s="13">
        <v>41851</v>
      </c>
      <c r="B90" s="12">
        <f>LN('기초 데이터'!C91/'기초 데이터'!C90)</f>
        <v>-1.3528664966475489E-2</v>
      </c>
      <c r="C90" s="12">
        <f>LN('기초 데이터'!F91/'기초 데이터'!F90)</f>
        <v>-3.6992644191219851E-2</v>
      </c>
      <c r="D90" s="12">
        <f>LN('기초 데이터'!I91/'기초 데이터'!I90)</f>
        <v>2.2326508779261362E-2</v>
      </c>
      <c r="E90" s="12">
        <f>LN('기초 데이터'!L91/'기초 데이터'!L90)</f>
        <v>-6.6285128755038267E-2</v>
      </c>
    </row>
    <row r="91" spans="1:5">
      <c r="A91" s="13">
        <v>41880</v>
      </c>
      <c r="B91" s="12">
        <f>LN('기초 데이터'!C92/'기초 데이터'!C91)</f>
        <v>3.8704678716954384E-2</v>
      </c>
      <c r="C91" s="12">
        <f>LN('기초 데이터'!F92/'기초 데이터'!F91)</f>
        <v>3.8018245994724947E-3</v>
      </c>
      <c r="D91" s="12">
        <f>LN('기초 데이터'!I92/'기초 데이터'!I91)</f>
        <v>1.2797249601470644E-2</v>
      </c>
      <c r="E91" s="12">
        <f>LN('기초 데이터'!L92/'기초 데이터'!L91)</f>
        <v>4.7165712171791531E-2</v>
      </c>
    </row>
    <row r="92" spans="1:5">
      <c r="A92" s="13">
        <v>41912</v>
      </c>
      <c r="B92" s="12">
        <f>LN('기초 데이터'!C93/'기초 데이터'!C92)</f>
        <v>-1.8555833743868575E-2</v>
      </c>
      <c r="C92" s="12">
        <f>LN('기초 데이터'!F93/'기초 데이터'!F92)</f>
        <v>-6.3752996275132576E-2</v>
      </c>
      <c r="D92" s="12">
        <f>LN('기초 데이터'!I93/'기초 데이터'!I92)</f>
        <v>3.7874876740155938E-2</v>
      </c>
      <c r="E92" s="12">
        <f>LN('기초 데이터'!L93/'기초 데이터'!L92)</f>
        <v>-6.3852414764172638E-2</v>
      </c>
    </row>
    <row r="93" spans="1:5">
      <c r="A93" s="13">
        <v>41943</v>
      </c>
      <c r="B93" s="12">
        <f>LN('기초 데이터'!C94/'기초 데이터'!C93)</f>
        <v>2.3277864537536188E-2</v>
      </c>
      <c r="C93" s="12">
        <f>LN('기초 데이터'!F94/'기초 데이터'!F93)</f>
        <v>-3.1024465768214438E-2</v>
      </c>
      <c r="D93" s="12">
        <f>LN('기초 데이터'!I94/'기초 데이터'!I93)</f>
        <v>9.5736153317142209E-3</v>
      </c>
      <c r="E93" s="12">
        <f>LN('기초 데이터'!L94/'기초 데이터'!L93)</f>
        <v>6.3852414764172666E-2</v>
      </c>
    </row>
    <row r="94" spans="1:5">
      <c r="A94" s="13">
        <v>41971</v>
      </c>
      <c r="B94" s="12">
        <f>LN('기초 데이터'!C95/'기초 데이터'!C94)</f>
        <v>2.7101399420258666E-2</v>
      </c>
      <c r="C94" s="12">
        <f>LN('기초 데이터'!F95/'기초 데이터'!F94)</f>
        <v>-4.8939013010656507E-3</v>
      </c>
      <c r="D94" s="12">
        <f>LN('기초 데이터'!I95/'기초 데이터'!I94)</f>
        <v>1.632338649652806E-2</v>
      </c>
      <c r="E94" s="12">
        <f>LN('기초 데이터'!L95/'기초 데이터'!L94)</f>
        <v>1.1146839310665947E-3</v>
      </c>
    </row>
    <row r="95" spans="1:5">
      <c r="A95" s="13">
        <v>42003</v>
      </c>
      <c r="B95" s="12">
        <f>LN('기초 데이터'!C96/'기초 데이터'!C95)</f>
        <v>1.9286409064056863E-3</v>
      </c>
      <c r="C95" s="12">
        <f>LN('기초 데이터'!F96/'기초 데이터'!F95)</f>
        <v>2.7189216096288653E-2</v>
      </c>
      <c r="D95" s="12">
        <f>LN('기초 데이터'!I96/'기초 데이터'!I95)</f>
        <v>1.7736951474786138E-2</v>
      </c>
      <c r="E95" s="12">
        <f>LN('기초 데이터'!L96/'기초 데이터'!L95)</f>
        <v>3.0800223974189727E-2</v>
      </c>
    </row>
    <row r="96" spans="1:5">
      <c r="A96" s="13">
        <v>42034</v>
      </c>
      <c r="B96" s="12">
        <f>LN('기초 데이터'!C97/'기초 데이터'!C96)</f>
        <v>-4.004957294031794E-2</v>
      </c>
      <c r="C96" s="12">
        <f>LN('기초 데이터'!F97/'기초 데이터'!F96)</f>
        <v>6.9166467529397577E-2</v>
      </c>
      <c r="D96" s="12">
        <f>LN('기초 데이터'!I97/'기초 데이터'!I96)</f>
        <v>5.0602390217782567E-2</v>
      </c>
      <c r="E96" s="12">
        <f>LN('기초 데이터'!L97/'기초 데이터'!L96)</f>
        <v>-3.9320435592574775E-2</v>
      </c>
    </row>
    <row r="97" spans="1:5">
      <c r="A97" s="13">
        <v>42062</v>
      </c>
      <c r="B97" s="12">
        <f>LN('기초 데이터'!C98/'기초 데이터'!C97)</f>
        <v>5.4681881056980214E-2</v>
      </c>
      <c r="C97" s="12">
        <f>LN('기초 데이터'!F98/'기초 데이터'!F97)</f>
        <v>-6.0867664714702556E-2</v>
      </c>
      <c r="D97" s="12">
        <f>LN('기초 데이터'!I98/'기초 데이터'!I97)</f>
        <v>2.7816429618767705E-3</v>
      </c>
      <c r="E97" s="12">
        <f>LN('기초 데이터'!L98/'기초 데이터'!L97)</f>
        <v>5.7763243857954741E-2</v>
      </c>
    </row>
    <row r="98" spans="1:5">
      <c r="A98" s="13">
        <v>42094</v>
      </c>
      <c r="B98" s="12">
        <f>LN('기초 데이터'!C99/'기초 데이터'!C98)</f>
        <v>-2.0284087525897665E-2</v>
      </c>
      <c r="C98" s="12">
        <f>LN('기초 데이터'!F99/'기초 데이터'!F98)</f>
        <v>-2.1757015207510541E-2</v>
      </c>
      <c r="D98" s="12">
        <f>LN('기초 데이터'!I99/'기초 데이터'!I98)</f>
        <v>2.7398974188114347E-2</v>
      </c>
      <c r="E98" s="12">
        <f>LN('기초 데이터'!L99/'기초 데이터'!L98)</f>
        <v>1.4497115608063944E-2</v>
      </c>
    </row>
    <row r="99" spans="1:5">
      <c r="A99" s="13">
        <v>42124</v>
      </c>
      <c r="B99" s="12">
        <f>LN('기초 데이터'!C100/'기초 데이터'!C99)</f>
        <v>9.7858044286780604E-3</v>
      </c>
      <c r="C99" s="12">
        <f>LN('기초 데이터'!F100/'기초 데이터'!F99)</f>
        <v>-1.6730510660774077E-3</v>
      </c>
      <c r="D99" s="12">
        <f>LN('기초 데이터'!I100/'기초 데이터'!I99)</f>
        <v>-3.8973639431403001E-2</v>
      </c>
      <c r="E99" s="12">
        <f>LN('기초 데이터'!L100/'기초 데이터'!L99)</f>
        <v>-2.5983950148806674E-2</v>
      </c>
    </row>
    <row r="100" spans="1:5">
      <c r="A100" s="13">
        <v>42153</v>
      </c>
      <c r="B100" s="12">
        <f>LN('기초 데이터'!C101/'기초 데이터'!C100)</f>
        <v>1.2774244250372489E-2</v>
      </c>
      <c r="C100" s="12">
        <f>LN('기초 데이터'!F101/'기초 데이터'!F100)</f>
        <v>5.5367720651318926E-3</v>
      </c>
      <c r="D100" s="12">
        <f>LN('기초 데이터'!I101/'기초 데이터'!I100)</f>
        <v>2.1839263855171449E-2</v>
      </c>
      <c r="E100" s="12">
        <f>LN('기초 데이터'!L101/'기초 데이터'!L100)</f>
        <v>2.2117031610804378E-2</v>
      </c>
    </row>
    <row r="101" spans="1:5">
      <c r="A101" s="13">
        <v>42185</v>
      </c>
      <c r="B101" s="12">
        <f>LN('기초 데이터'!C102/'기초 데이터'!C101)</f>
        <v>-2.5373672345635041E-2</v>
      </c>
      <c r="C101" s="12">
        <f>LN('기초 데이터'!F102/'기초 데이터'!F101)</f>
        <v>-1.5278258948218836E-2</v>
      </c>
      <c r="D101" s="12">
        <f>LN('기초 데이터'!I102/'기초 데이터'!I101)</f>
        <v>-1.7033487685577612E-2</v>
      </c>
      <c r="E101" s="12">
        <f>LN('기초 데이터'!L102/'기초 데이터'!L101)</f>
        <v>7.7990345059506284E-3</v>
      </c>
    </row>
    <row r="102" spans="1:5">
      <c r="A102" s="13">
        <v>42216</v>
      </c>
      <c r="B102" s="12">
        <f>LN('기초 데이터'!C103/'기초 데이터'!C102)</f>
        <v>2.2337904906522432E-2</v>
      </c>
      <c r="C102" s="12">
        <f>LN('기초 데이터'!F103/'기초 데이터'!F102)</f>
        <v>-6.8503536749991323E-2</v>
      </c>
      <c r="D102" s="12">
        <f>LN('기초 데이터'!I103/'기초 데이터'!I102)</f>
        <v>1.58544739903453E-2</v>
      </c>
      <c r="E102" s="12">
        <f>LN('기초 데이터'!L103/'기초 데이터'!L102)</f>
        <v>-1.5334010403257672E-2</v>
      </c>
    </row>
    <row r="103" spans="1:5">
      <c r="A103" s="13">
        <v>42247</v>
      </c>
      <c r="B103" s="12">
        <f>LN('기초 데이터'!C104/'기초 데이터'!C103)</f>
        <v>-6.2886679528597972E-2</v>
      </c>
      <c r="C103" s="12">
        <f>LN('기초 데이터'!F104/'기초 데이터'!F103)</f>
        <v>3.6401679887959441E-2</v>
      </c>
      <c r="D103" s="12">
        <f>LN('기초 데이터'!I104/'기초 데이터'!I103)</f>
        <v>-1.4656629966106036E-2</v>
      </c>
      <c r="E103" s="12">
        <f>LN('기초 데이터'!L104/'기초 데이터'!L103)</f>
        <v>-6.5189350968549498E-2</v>
      </c>
    </row>
    <row r="104" spans="1:5">
      <c r="A104" s="13">
        <v>42277</v>
      </c>
      <c r="B104" s="12">
        <f>LN('기초 데이터'!C105/'기초 데이터'!C104)</f>
        <v>-3.1032544113434337E-2</v>
      </c>
      <c r="C104" s="12">
        <f>LN('기초 데이터'!F105/'기초 데이터'!F104)</f>
        <v>-1.8175574528153927E-2</v>
      </c>
      <c r="D104" s="12">
        <f>LN('기초 데이터'!I105/'기초 데이터'!I104)</f>
        <v>1.5948966698159737E-3</v>
      </c>
      <c r="E104" s="12">
        <f>LN('기초 데이터'!L105/'기초 데이터'!L104)</f>
        <v>-5.3488684950986236E-2</v>
      </c>
    </row>
    <row r="105" spans="1:5">
      <c r="A105" s="13">
        <v>42307</v>
      </c>
      <c r="B105" s="12">
        <f>LN('기초 데이터'!C106/'기초 데이터'!C105)</f>
        <v>8.163505511759922E-2</v>
      </c>
      <c r="C105" s="12">
        <f>LN('기초 데이터'!F106/'기초 데이터'!F105)</f>
        <v>2.2576828652867632E-2</v>
      </c>
      <c r="D105" s="12">
        <f>LN('기초 데이터'!I106/'기초 데이터'!I105)</f>
        <v>5.9583095836306249E-3</v>
      </c>
      <c r="E105" s="12">
        <f>LN('기초 데이터'!L106/'기초 데이터'!L105)</f>
        <v>5.4703224876461919E-2</v>
      </c>
    </row>
    <row r="106" spans="1:5">
      <c r="A106" s="13">
        <v>42338</v>
      </c>
      <c r="B106" s="12">
        <f>LN('기초 데이터'!C107/'기초 데이터'!C106)</f>
        <v>3.6484126687360103E-3</v>
      </c>
      <c r="C106" s="12">
        <f>LN('기초 데이터'!F107/'기초 데이터'!F106)</f>
        <v>-6.9908203358639606E-2</v>
      </c>
      <c r="D106" s="12">
        <f>LN('기초 데이터'!I107/'기초 데이터'!I106)</f>
        <v>3.2342581337083398E-2</v>
      </c>
      <c r="E106" s="12">
        <f>LN('기초 데이터'!L107/'기초 데이터'!L106)</f>
        <v>3.2079188173987687E-2</v>
      </c>
    </row>
    <row r="107" spans="1:5">
      <c r="A107" s="13">
        <v>42368</v>
      </c>
      <c r="B107" s="12">
        <f>LN('기초 데이터'!C108/'기초 데이터'!C107)</f>
        <v>-1.3313592049482422E-2</v>
      </c>
      <c r="C107" s="12">
        <f>LN('기초 데이터'!F108/'기초 데이터'!F107)</f>
        <v>-4.9178814569802581E-3</v>
      </c>
      <c r="D107" s="12">
        <f>LN('기초 데이터'!I108/'기초 데이터'!I107)</f>
        <v>-2.170627858186306E-2</v>
      </c>
      <c r="E107" s="12">
        <f>LN('기초 데이터'!L108/'기초 데이터'!L107)</f>
        <v>-4.3414212316783087E-2</v>
      </c>
    </row>
    <row r="108" spans="1:5">
      <c r="A108" s="13">
        <v>42398</v>
      </c>
      <c r="B108" s="12">
        <f>LN('기초 데이터'!C109/'기초 데이터'!C108)</f>
        <v>-6.1122487682228367E-2</v>
      </c>
      <c r="C108" s="12">
        <f>LN('기초 데이터'!F109/'기초 데이터'!F108)</f>
        <v>5.3091125161541686E-2</v>
      </c>
      <c r="D108" s="12">
        <f>LN('기초 데이터'!I109/'기초 데이터'!I108)</f>
        <v>1.3234914867122331E-2</v>
      </c>
      <c r="E108" s="12">
        <f>LN('기초 데이터'!L109/'기초 데이터'!L108)</f>
        <v>-0.10220870075660007</v>
      </c>
    </row>
    <row r="109" spans="1:5">
      <c r="A109" s="13">
        <v>42429</v>
      </c>
      <c r="B109" s="12">
        <f>LN('기초 데이터'!C110/'기초 데이터'!C109)</f>
        <v>-8.262756099105612E-4</v>
      </c>
      <c r="C109" s="12">
        <f>LN('기초 데이터'!F110/'기초 데이터'!F109)</f>
        <v>0.10373226230126197</v>
      </c>
      <c r="D109" s="12">
        <f>LN('기초 데이터'!I110/'기초 데이터'!I109)</f>
        <v>-1.4411154955687348E-2</v>
      </c>
      <c r="E109" s="12">
        <f>LN('기초 데이터'!L110/'기초 데이터'!L109)</f>
        <v>-2.236376059698814E-3</v>
      </c>
    </row>
    <row r="110" spans="1:5">
      <c r="A110" s="13">
        <v>42460</v>
      </c>
      <c r="B110" s="12">
        <f>LN('기초 데이터'!C111/'기초 데이터'!C110)</f>
        <v>5.9955810876510321E-2</v>
      </c>
      <c r="C110" s="12">
        <f>LN('기초 데이터'!F111/'기초 데이터'!F110)</f>
        <v>-8.4645841438823494E-3</v>
      </c>
      <c r="D110" s="12">
        <f>LN('기초 데이터'!I111/'기초 데이터'!I110)</f>
        <v>-3.7981779105258684E-2</v>
      </c>
      <c r="E110" s="12">
        <f>LN('기초 데이터'!L111/'기초 데이터'!L110)</f>
        <v>7.4087112818647077E-2</v>
      </c>
    </row>
    <row r="111" spans="1:5">
      <c r="A111" s="13">
        <v>42489</v>
      </c>
      <c r="B111" s="12">
        <f>LN('기초 데이터'!C112/'기초 데이터'!C111)</f>
        <v>3.9334759955103734E-3</v>
      </c>
      <c r="C111" s="12">
        <f>LN('기초 데이터'!F112/'기초 데이터'!F111)</f>
        <v>4.9825880281631076E-2</v>
      </c>
      <c r="D111" s="12">
        <f>LN('기초 데이터'!I112/'기초 데이터'!I111)</f>
        <v>-1.8092598786155926E-2</v>
      </c>
      <c r="E111" s="12">
        <f>LN('기초 데이터'!L112/'기초 데이터'!L111)</f>
        <v>1.6584128015535261E-2</v>
      </c>
    </row>
    <row r="112" spans="1:5">
      <c r="A112" s="13">
        <v>42521</v>
      </c>
      <c r="B112" s="12">
        <f>LN('기초 데이터'!C113/'기초 데이터'!C112)</f>
        <v>1.6868506761479635E-2</v>
      </c>
      <c r="C112" s="12">
        <f>LN('기초 데이터'!F113/'기초 데이터'!F112)</f>
        <v>-6.3347695204962987E-2</v>
      </c>
      <c r="D112" s="12">
        <f>LN('기초 데이터'!I113/'기초 데이터'!I112)</f>
        <v>3.0243416568668597E-2</v>
      </c>
      <c r="E112" s="12">
        <f>LN('기초 데이터'!L113/'기초 데이터'!L112)</f>
        <v>2.2156700300895234E-2</v>
      </c>
    </row>
    <row r="113" spans="1:5">
      <c r="A113" s="13">
        <v>42551</v>
      </c>
      <c r="B113" s="12">
        <f>LN('기초 데이터'!C114/'기초 데이터'!C113)</f>
        <v>-1.717066147331361E-3</v>
      </c>
      <c r="C113" s="12">
        <f>LN('기초 데이터'!F114/'기초 데이터'!F113)</f>
        <v>8.5897827129422705E-2</v>
      </c>
      <c r="D113" s="12">
        <f>LN('기초 데이터'!I114/'기초 데이터'!I113)</f>
        <v>0</v>
      </c>
      <c r="E113" s="12">
        <f>LN('기초 데이터'!L114/'기초 데이터'!L113)</f>
        <v>-1.7392816810519782E-4</v>
      </c>
    </row>
    <row r="114" spans="1:5">
      <c r="A114" s="13">
        <v>42580</v>
      </c>
      <c r="B114" s="12">
        <f>LN('기초 데이터'!C115/'기초 데이터'!C114)</f>
        <v>3.5821926675272162E-2</v>
      </c>
      <c r="C114" s="12">
        <f>LN('기초 데이터'!F115/'기초 데이터'!F114)</f>
        <v>1.9652227690346132E-2</v>
      </c>
      <c r="D114" s="12">
        <f>LN('기초 데이터'!I115/'기초 데이터'!I114)</f>
        <v>-6.8673265240126041E-3</v>
      </c>
      <c r="E114" s="12">
        <f>LN('기초 데이터'!L115/'기초 데이터'!L114)</f>
        <v>5.1610690524503906E-2</v>
      </c>
    </row>
    <row r="115" spans="1:5">
      <c r="A115" s="13">
        <v>42613</v>
      </c>
      <c r="B115" s="12">
        <f>LN('기초 데이터'!C116/'기초 데이터'!C115)</f>
        <v>1.1967780484817782E-3</v>
      </c>
      <c r="C115" s="12">
        <f>LN('기초 데이터'!F116/'기초 데이터'!F115)</f>
        <v>-3.3105166899590963E-2</v>
      </c>
      <c r="D115" s="12">
        <f>LN('기초 데이터'!I116/'기초 데이터'!I115)</f>
        <v>6.0618492351957589E-3</v>
      </c>
      <c r="E115" s="12">
        <f>LN('기초 데이터'!L116/'기초 데이터'!L115)</f>
        <v>1.7683637230383027E-2</v>
      </c>
    </row>
    <row r="116" spans="1:5">
      <c r="A116" s="13">
        <v>42643</v>
      </c>
      <c r="B116" s="12">
        <f>LN('기초 데이터'!C117/'기초 데이터'!C116)</f>
        <v>-4.9806411760277619E-3</v>
      </c>
      <c r="C116" s="12">
        <f>LN('기초 데이터'!F117/'기초 데이터'!F116)</f>
        <v>6.868487987805468E-3</v>
      </c>
      <c r="D116" s="12">
        <f>LN('기초 데이터'!I117/'기초 데이터'!I116)</f>
        <v>-5.6565807392741085E-3</v>
      </c>
      <c r="E116" s="12">
        <f>LN('기초 데이터'!L117/'기초 데이터'!L116)</f>
        <v>7.9211536060706106E-3</v>
      </c>
    </row>
    <row r="117" spans="1:5">
      <c r="A117" s="13">
        <v>42674</v>
      </c>
      <c r="B117" s="12">
        <f>LN('기초 데이터'!C118/'기초 데이터'!C117)</f>
        <v>-1.7489078154213942E-2</v>
      </c>
      <c r="C117" s="12">
        <f>LN('기초 데이터'!F118/'기초 데이터'!F117)</f>
        <v>-2.9891554190775743E-2</v>
      </c>
      <c r="D117" s="12">
        <f>LN('기초 데이터'!I118/'기초 데이터'!I117)</f>
        <v>2.9543066724120933E-2</v>
      </c>
      <c r="E117" s="12">
        <f>LN('기초 데이터'!L118/'기초 데이터'!L117)</f>
        <v>-4.7060720980916473E-2</v>
      </c>
    </row>
    <row r="118" spans="1:5">
      <c r="A118" s="13">
        <v>42704</v>
      </c>
      <c r="B118" s="12">
        <f>LN('기초 데이터'!C119/'기초 데이터'!C118)</f>
        <v>3.6176074254831755E-2</v>
      </c>
      <c r="C118" s="12">
        <f>LN('기초 데이터'!F119/'기초 데이터'!F118)</f>
        <v>-8.7264886985991844E-2</v>
      </c>
      <c r="D118" s="12">
        <f>LN('기초 데이터'!I119/'기초 데이터'!I118)</f>
        <v>3.2129723276324601E-2</v>
      </c>
      <c r="E118" s="12">
        <f>LN('기초 데이터'!L119/'기초 데이터'!L118)</f>
        <v>0.10493004327104652</v>
      </c>
    </row>
    <row r="119" spans="1:5">
      <c r="A119" s="13">
        <v>42733</v>
      </c>
      <c r="B119" s="12">
        <f>LN('기초 데이터'!C120/'기초 데이터'!C119)</f>
        <v>1.7854003362361513E-2</v>
      </c>
      <c r="C119" s="12">
        <f>LN('기초 데이터'!F120/'기초 데이터'!F119)</f>
        <v>-1.3150973175622629E-2</v>
      </c>
      <c r="D119" s="12">
        <f>LN('기초 데이터'!I120/'기초 데이터'!I119)</f>
        <v>1.0987039866428624E-2</v>
      </c>
      <c r="E119" s="12">
        <f>LN('기초 데이터'!L120/'기초 데이터'!L119)</f>
        <v>2.8168766351462409E-2</v>
      </c>
    </row>
    <row r="120" spans="1:5">
      <c r="A120" s="13">
        <v>42766</v>
      </c>
      <c r="B120" s="12">
        <f>LN('기초 데이터'!C121/'기초 데이터'!C120)</f>
        <v>1.4074765407043024E-2</v>
      </c>
      <c r="C120" s="12">
        <f>LN('기초 데이터'!F121/'기초 데이터'!F120)</f>
        <v>4.6590076402334195E-2</v>
      </c>
      <c r="D120" s="12">
        <f>LN('기초 데이터'!I121/'기초 데이터'!I120)</f>
        <v>-3.0995402610408569E-2</v>
      </c>
      <c r="E120" s="12">
        <f>LN('기초 데이터'!L121/'기초 데이터'!L120)</f>
        <v>-1.0347377124265253E-3</v>
      </c>
    </row>
    <row r="121" spans="1:5">
      <c r="A121" s="13">
        <v>42794</v>
      </c>
      <c r="B121" s="12">
        <f>LN('기초 데이터'!C122/'기초 데이터'!C121)</f>
        <v>3.8539252162532206E-2</v>
      </c>
      <c r="C121" s="12">
        <f>LN('기초 데이터'!F122/'기초 데이터'!F121)</f>
        <v>3.1351064097650844E-2</v>
      </c>
      <c r="D121" s="12">
        <f>LN('기초 데이터'!I122/'기초 데이터'!I121)</f>
        <v>1.4660756417384718E-2</v>
      </c>
      <c r="E121" s="12">
        <f>LN('기초 데이터'!L122/'기초 데이터'!L121)</f>
        <v>1.9116559734405909E-2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122"/>
  <sheetViews>
    <sheetView zoomScaleNormal="100" workbookViewId="0">
      <selection activeCell="D3" sqref="D3"/>
    </sheetView>
  </sheetViews>
  <sheetFormatPr defaultRowHeight="16.5"/>
  <cols>
    <col min="1" max="1" width="11.125" bestFit="1" customWidth="1"/>
    <col min="3" max="3" width="7.5" bestFit="1" customWidth="1"/>
    <col min="4" max="4" width="13.125" bestFit="1" customWidth="1"/>
    <col min="5" max="5" width="9.5" bestFit="1" customWidth="1"/>
    <col min="6" max="6" width="7.5" bestFit="1" customWidth="1"/>
    <col min="7" max="7" width="12.75" bestFit="1" customWidth="1"/>
    <col min="8" max="8" width="9.75" bestFit="1" customWidth="1"/>
    <col min="9" max="9" width="6.5" bestFit="1" customWidth="1"/>
    <col min="10" max="10" width="12.75" bestFit="1" customWidth="1"/>
    <col min="11" max="11" width="9.875" bestFit="1" customWidth="1"/>
    <col min="12" max="12" width="7.5" bestFit="1" customWidth="1"/>
    <col min="13" max="13" width="12.75" bestFit="1" customWidth="1"/>
  </cols>
  <sheetData>
    <row r="1" spans="1:13">
      <c r="A1" t="s">
        <v>8</v>
      </c>
      <c r="B1" t="s">
        <v>7</v>
      </c>
      <c r="C1" t="s">
        <v>1</v>
      </c>
      <c r="D1" t="s">
        <v>0</v>
      </c>
      <c r="E1" t="s">
        <v>7</v>
      </c>
      <c r="F1" t="s">
        <v>1</v>
      </c>
      <c r="G1" t="s">
        <v>0</v>
      </c>
      <c r="H1" t="s">
        <v>7</v>
      </c>
      <c r="I1" t="s">
        <v>1</v>
      </c>
      <c r="J1" t="s">
        <v>0</v>
      </c>
      <c r="K1" t="s">
        <v>7</v>
      </c>
      <c r="L1" t="s">
        <v>1</v>
      </c>
      <c r="M1" t="s">
        <v>0</v>
      </c>
    </row>
    <row r="2" spans="1:13">
      <c r="A2" s="1">
        <v>39141</v>
      </c>
      <c r="B2" t="s">
        <v>3</v>
      </c>
      <c r="C2">
        <v>140.93</v>
      </c>
      <c r="D2">
        <v>60923193420</v>
      </c>
      <c r="E2" t="s">
        <v>4</v>
      </c>
      <c r="F2">
        <v>66.48</v>
      </c>
      <c r="G2">
        <v>10477248000</v>
      </c>
      <c r="H2" t="s">
        <v>5</v>
      </c>
      <c r="I2">
        <v>24.94</v>
      </c>
      <c r="J2">
        <v>24940000</v>
      </c>
      <c r="K2" t="s">
        <v>6</v>
      </c>
      <c r="L2">
        <v>78.83</v>
      </c>
      <c r="M2">
        <v>11698372000</v>
      </c>
    </row>
    <row r="3" spans="1:13">
      <c r="A3" s="1">
        <v>39171</v>
      </c>
      <c r="B3" t="s">
        <v>3</v>
      </c>
      <c r="C3">
        <v>142</v>
      </c>
      <c r="D3">
        <v>60966848000</v>
      </c>
      <c r="E3" t="s">
        <v>4</v>
      </c>
      <c r="F3">
        <v>65.739999999999995</v>
      </c>
      <c r="G3">
        <v>10222570000</v>
      </c>
      <c r="H3" t="s">
        <v>5</v>
      </c>
      <c r="I3">
        <v>24.79</v>
      </c>
      <c r="J3">
        <v>24790000</v>
      </c>
      <c r="K3" t="s">
        <v>6</v>
      </c>
      <c r="L3">
        <v>79.510000000000005</v>
      </c>
      <c r="M3">
        <v>11445464500</v>
      </c>
    </row>
    <row r="4" spans="1:13">
      <c r="A4" s="1">
        <v>39202</v>
      </c>
      <c r="B4" t="s">
        <v>3</v>
      </c>
      <c r="C4">
        <v>148.29</v>
      </c>
      <c r="D4">
        <v>60204850260</v>
      </c>
      <c r="E4" t="s">
        <v>4</v>
      </c>
      <c r="F4">
        <v>67.09</v>
      </c>
      <c r="G4">
        <v>10741109000</v>
      </c>
      <c r="H4" t="s">
        <v>5</v>
      </c>
      <c r="I4">
        <v>24.49</v>
      </c>
      <c r="J4">
        <v>24490000</v>
      </c>
      <c r="K4" t="s">
        <v>6</v>
      </c>
      <c r="L4">
        <v>80.739999999999995</v>
      </c>
      <c r="M4">
        <v>11735559000</v>
      </c>
    </row>
    <row r="5" spans="1:13">
      <c r="A5" s="1">
        <v>39233</v>
      </c>
      <c r="B5" t="s">
        <v>3</v>
      </c>
      <c r="C5">
        <v>153.32</v>
      </c>
      <c r="D5">
        <v>61766801840</v>
      </c>
      <c r="E5" t="s">
        <v>4</v>
      </c>
      <c r="F5">
        <v>65.540000000000006</v>
      </c>
      <c r="G5">
        <v>10047282000</v>
      </c>
      <c r="H5" t="s">
        <v>5</v>
      </c>
      <c r="I5">
        <v>24.92</v>
      </c>
      <c r="J5">
        <v>19936000</v>
      </c>
      <c r="K5" t="s">
        <v>6</v>
      </c>
      <c r="L5">
        <v>84.2</v>
      </c>
      <c r="M5">
        <v>12339510000</v>
      </c>
    </row>
    <row r="6" spans="1:13">
      <c r="A6" s="1">
        <v>39262</v>
      </c>
      <c r="B6" t="s">
        <v>3</v>
      </c>
      <c r="C6">
        <v>150.43</v>
      </c>
      <c r="D6">
        <v>59504391660</v>
      </c>
      <c r="E6" t="s">
        <v>4</v>
      </c>
      <c r="F6">
        <v>64.27</v>
      </c>
      <c r="G6">
        <v>9672635000</v>
      </c>
      <c r="H6" t="s">
        <v>5</v>
      </c>
      <c r="I6">
        <v>24.88</v>
      </c>
      <c r="J6">
        <v>14928000</v>
      </c>
      <c r="K6" t="s">
        <v>6</v>
      </c>
      <c r="L6">
        <v>82.96</v>
      </c>
      <c r="M6">
        <v>7599136000</v>
      </c>
    </row>
    <row r="7" spans="1:13">
      <c r="A7" s="1">
        <v>39294</v>
      </c>
      <c r="B7" t="s">
        <v>3</v>
      </c>
      <c r="C7">
        <v>145.72</v>
      </c>
      <c r="D7">
        <v>55644930640</v>
      </c>
      <c r="E7" t="s">
        <v>4</v>
      </c>
      <c r="F7">
        <v>65.790000000000006</v>
      </c>
      <c r="G7">
        <v>10611927000</v>
      </c>
      <c r="H7" t="s">
        <v>5</v>
      </c>
      <c r="I7">
        <v>24.65</v>
      </c>
      <c r="J7">
        <v>14790000</v>
      </c>
      <c r="K7" t="s">
        <v>6</v>
      </c>
      <c r="L7">
        <v>77.099999999999994</v>
      </c>
      <c r="M7">
        <v>8226570000</v>
      </c>
    </row>
    <row r="8" spans="1:13">
      <c r="A8" s="1">
        <v>39325</v>
      </c>
      <c r="B8" t="s">
        <v>3</v>
      </c>
      <c r="C8">
        <v>147.59</v>
      </c>
      <c r="D8">
        <v>74315992700</v>
      </c>
      <c r="E8" t="s">
        <v>4</v>
      </c>
      <c r="F8">
        <v>66.52</v>
      </c>
      <c r="G8">
        <v>11142100000</v>
      </c>
      <c r="H8" t="s">
        <v>5</v>
      </c>
      <c r="I8">
        <v>24.79</v>
      </c>
      <c r="J8">
        <v>9916000</v>
      </c>
      <c r="K8" t="s">
        <v>6</v>
      </c>
      <c r="L8">
        <v>78.739999999999995</v>
      </c>
      <c r="M8">
        <v>11330686000</v>
      </c>
    </row>
    <row r="9" spans="1:13">
      <c r="A9" s="1">
        <v>39353</v>
      </c>
      <c r="B9" t="s">
        <v>3</v>
      </c>
      <c r="C9">
        <v>152.58000000000001</v>
      </c>
      <c r="D9">
        <v>82352003400</v>
      </c>
      <c r="E9" t="s">
        <v>4</v>
      </c>
      <c r="F9">
        <v>73.510000000000005</v>
      </c>
      <c r="G9">
        <v>13812529000</v>
      </c>
      <c r="H9" t="s">
        <v>5</v>
      </c>
      <c r="I9">
        <v>24.05</v>
      </c>
      <c r="J9">
        <v>9620000</v>
      </c>
      <c r="K9" t="s">
        <v>6</v>
      </c>
      <c r="L9">
        <v>80.040000000000006</v>
      </c>
      <c r="M9">
        <v>13066530000</v>
      </c>
    </row>
    <row r="10" spans="1:13">
      <c r="A10" s="1">
        <v>39386</v>
      </c>
      <c r="B10" t="s">
        <v>3</v>
      </c>
      <c r="C10">
        <v>154.65</v>
      </c>
      <c r="D10">
        <v>73819084500</v>
      </c>
      <c r="E10" t="s">
        <v>4</v>
      </c>
      <c r="F10">
        <v>78.62</v>
      </c>
      <c r="G10">
        <v>15275866000</v>
      </c>
      <c r="H10" t="s">
        <v>5</v>
      </c>
      <c r="I10">
        <v>23.75</v>
      </c>
      <c r="J10">
        <v>28500000</v>
      </c>
      <c r="K10" t="s">
        <v>6</v>
      </c>
      <c r="L10">
        <v>82.32</v>
      </c>
      <c r="M10">
        <v>13294680000</v>
      </c>
    </row>
    <row r="11" spans="1:13">
      <c r="A11" s="1">
        <v>39416</v>
      </c>
      <c r="B11" t="s">
        <v>3</v>
      </c>
      <c r="C11">
        <v>148.66</v>
      </c>
      <c r="D11">
        <v>73600822700</v>
      </c>
      <c r="E11" t="s">
        <v>4</v>
      </c>
      <c r="F11">
        <v>77.319999999999993</v>
      </c>
      <c r="G11">
        <v>14868636000</v>
      </c>
      <c r="H11" t="s">
        <v>5</v>
      </c>
      <c r="I11">
        <v>23.82</v>
      </c>
      <c r="J11">
        <v>42876000</v>
      </c>
      <c r="K11" t="s">
        <v>6</v>
      </c>
      <c r="L11">
        <v>76.58</v>
      </c>
      <c r="M11">
        <v>10537408000</v>
      </c>
    </row>
    <row r="12" spans="1:13">
      <c r="A12" s="1">
        <v>39444</v>
      </c>
      <c r="B12" t="s">
        <v>3</v>
      </c>
      <c r="C12">
        <v>147.30000000000001</v>
      </c>
      <c r="D12">
        <v>102851488500</v>
      </c>
      <c r="E12" t="s">
        <v>4</v>
      </c>
      <c r="F12">
        <v>83</v>
      </c>
      <c r="G12">
        <v>16674700000</v>
      </c>
      <c r="H12" t="s">
        <v>5</v>
      </c>
      <c r="I12">
        <v>23.55</v>
      </c>
      <c r="J12">
        <v>98910000</v>
      </c>
      <c r="K12" t="s">
        <v>6</v>
      </c>
      <c r="L12">
        <v>76.56</v>
      </c>
      <c r="M12">
        <v>11732820000</v>
      </c>
    </row>
    <row r="13" spans="1:13">
      <c r="A13" s="1">
        <v>39478</v>
      </c>
      <c r="B13" t="s">
        <v>3</v>
      </c>
      <c r="C13">
        <v>137.37</v>
      </c>
      <c r="D13">
        <v>90842094150</v>
      </c>
      <c r="E13" t="s">
        <v>4</v>
      </c>
      <c r="F13">
        <v>91.4</v>
      </c>
      <c r="G13">
        <v>18764420000</v>
      </c>
      <c r="H13" t="s">
        <v>5</v>
      </c>
      <c r="I13">
        <v>23.44</v>
      </c>
      <c r="J13">
        <v>84384000</v>
      </c>
      <c r="K13" t="s">
        <v>6</v>
      </c>
      <c r="L13">
        <v>70.94</v>
      </c>
      <c r="M13">
        <v>11059546000</v>
      </c>
    </row>
    <row r="14" spans="1:13">
      <c r="A14" s="1">
        <v>39507</v>
      </c>
      <c r="B14" t="s">
        <v>3</v>
      </c>
      <c r="C14">
        <v>133.82</v>
      </c>
      <c r="D14">
        <v>66926192220</v>
      </c>
      <c r="E14" t="s">
        <v>4</v>
      </c>
      <c r="F14">
        <v>96.18</v>
      </c>
      <c r="G14">
        <v>20024676000</v>
      </c>
      <c r="H14" t="s">
        <v>5</v>
      </c>
      <c r="I14">
        <v>22.95</v>
      </c>
      <c r="J14">
        <v>100980000</v>
      </c>
      <c r="K14" t="s">
        <v>6</v>
      </c>
      <c r="L14">
        <v>68.86</v>
      </c>
      <c r="M14">
        <v>7891356000</v>
      </c>
    </row>
    <row r="15" spans="1:13">
      <c r="A15" s="1">
        <v>39538</v>
      </c>
      <c r="B15" t="s">
        <v>3</v>
      </c>
      <c r="C15">
        <v>131.97</v>
      </c>
      <c r="D15">
        <v>80840994870</v>
      </c>
      <c r="E15" t="s">
        <v>4</v>
      </c>
      <c r="F15">
        <v>90.41</v>
      </c>
      <c r="G15">
        <v>18904731000</v>
      </c>
      <c r="H15" t="s">
        <v>5</v>
      </c>
      <c r="I15">
        <v>22.4</v>
      </c>
      <c r="J15">
        <v>125440000</v>
      </c>
      <c r="K15" t="s">
        <v>6</v>
      </c>
      <c r="L15">
        <v>68.290000000000006</v>
      </c>
      <c r="M15">
        <v>11121026500</v>
      </c>
    </row>
    <row r="16" spans="1:13">
      <c r="A16" s="1">
        <v>39568</v>
      </c>
      <c r="B16" t="s">
        <v>3</v>
      </c>
      <c r="C16">
        <v>138.26</v>
      </c>
      <c r="D16">
        <v>75596558460</v>
      </c>
      <c r="E16" t="s">
        <v>4</v>
      </c>
      <c r="F16">
        <v>86.65</v>
      </c>
      <c r="G16">
        <v>16688790000</v>
      </c>
      <c r="H16" t="s">
        <v>5</v>
      </c>
      <c r="I16">
        <v>22.61</v>
      </c>
      <c r="J16">
        <v>194446000</v>
      </c>
      <c r="K16" t="s">
        <v>6</v>
      </c>
      <c r="L16">
        <v>71.400000000000006</v>
      </c>
      <c r="M16">
        <v>10149510000</v>
      </c>
    </row>
    <row r="17" spans="1:13">
      <c r="A17" s="1">
        <v>39598</v>
      </c>
      <c r="B17" t="s">
        <v>3</v>
      </c>
      <c r="C17">
        <v>140.35</v>
      </c>
      <c r="D17">
        <v>74749427550</v>
      </c>
      <c r="E17" t="s">
        <v>4</v>
      </c>
      <c r="F17">
        <v>87.45</v>
      </c>
      <c r="G17">
        <v>16860360000</v>
      </c>
      <c r="H17" t="s">
        <v>5</v>
      </c>
      <c r="I17">
        <v>22.71</v>
      </c>
      <c r="J17">
        <v>472368000</v>
      </c>
      <c r="K17" t="s">
        <v>6</v>
      </c>
      <c r="L17">
        <v>74.67</v>
      </c>
      <c r="M17">
        <v>10072983000</v>
      </c>
    </row>
    <row r="18" spans="1:13">
      <c r="A18" s="1">
        <v>39629</v>
      </c>
      <c r="B18" t="s">
        <v>3</v>
      </c>
      <c r="C18">
        <v>127.98</v>
      </c>
      <c r="D18">
        <v>71949460140</v>
      </c>
      <c r="E18" t="s">
        <v>4</v>
      </c>
      <c r="F18">
        <v>91.4</v>
      </c>
      <c r="G18">
        <v>19194000000</v>
      </c>
      <c r="H18" t="s">
        <v>5</v>
      </c>
      <c r="I18">
        <v>22.49</v>
      </c>
      <c r="J18">
        <v>571246000</v>
      </c>
      <c r="K18" t="s">
        <v>6</v>
      </c>
      <c r="L18">
        <v>69.05</v>
      </c>
      <c r="M18">
        <v>7954560000</v>
      </c>
    </row>
    <row r="19" spans="1:13">
      <c r="A19" s="1">
        <v>39660</v>
      </c>
      <c r="B19" t="s">
        <v>3</v>
      </c>
      <c r="C19">
        <v>126.83</v>
      </c>
      <c r="D19">
        <v>74784421690</v>
      </c>
      <c r="E19" t="s">
        <v>4</v>
      </c>
      <c r="F19">
        <v>90.08</v>
      </c>
      <c r="G19">
        <v>19781568000</v>
      </c>
      <c r="H19" t="s">
        <v>5</v>
      </c>
      <c r="I19">
        <v>22.72</v>
      </c>
      <c r="J19">
        <v>508928000</v>
      </c>
      <c r="K19" t="s">
        <v>6</v>
      </c>
      <c r="L19">
        <v>71.319999999999993</v>
      </c>
      <c r="M19">
        <v>9945574000</v>
      </c>
    </row>
    <row r="20" spans="1:13">
      <c r="A20" s="1">
        <v>39689</v>
      </c>
      <c r="B20" t="s">
        <v>3</v>
      </c>
      <c r="C20">
        <v>128.79</v>
      </c>
      <c r="D20">
        <v>78584567040</v>
      </c>
      <c r="E20" t="s">
        <v>4</v>
      </c>
      <c r="F20">
        <v>81.709999999999994</v>
      </c>
      <c r="G20">
        <v>17363375000</v>
      </c>
      <c r="H20" t="s">
        <v>5</v>
      </c>
      <c r="I20">
        <v>23.94</v>
      </c>
      <c r="J20">
        <v>751716000</v>
      </c>
      <c r="K20" t="s">
        <v>6</v>
      </c>
      <c r="L20">
        <v>73.87</v>
      </c>
      <c r="M20">
        <v>10459992000</v>
      </c>
    </row>
    <row r="21" spans="1:13">
      <c r="A21" s="1">
        <v>39721</v>
      </c>
      <c r="B21" t="s">
        <v>3</v>
      </c>
      <c r="C21">
        <v>115.99</v>
      </c>
      <c r="D21">
        <v>90034453740</v>
      </c>
      <c r="E21" t="s">
        <v>4</v>
      </c>
      <c r="F21">
        <v>85.07</v>
      </c>
      <c r="G21">
        <v>20119055000</v>
      </c>
      <c r="H21" t="s">
        <v>5</v>
      </c>
      <c r="I21">
        <v>24.44</v>
      </c>
      <c r="J21">
        <v>620776000</v>
      </c>
      <c r="K21" t="s">
        <v>6</v>
      </c>
      <c r="L21">
        <v>68</v>
      </c>
      <c r="M21">
        <v>15711400000</v>
      </c>
    </row>
    <row r="22" spans="1:13">
      <c r="A22" s="1">
        <v>39752</v>
      </c>
      <c r="B22" t="s">
        <v>3</v>
      </c>
      <c r="C22">
        <v>96.83</v>
      </c>
      <c r="D22">
        <v>78754356580</v>
      </c>
      <c r="E22" t="s">
        <v>4</v>
      </c>
      <c r="F22">
        <v>71.34</v>
      </c>
      <c r="G22">
        <v>17449764000</v>
      </c>
      <c r="H22" t="s">
        <v>5</v>
      </c>
      <c r="I22">
        <v>26.5</v>
      </c>
      <c r="J22">
        <v>614800000</v>
      </c>
      <c r="K22" t="s">
        <v>6</v>
      </c>
      <c r="L22">
        <v>53.75</v>
      </c>
      <c r="M22">
        <v>9865812500</v>
      </c>
    </row>
    <row r="23" spans="1:13">
      <c r="A23" s="1">
        <v>39780</v>
      </c>
      <c r="B23" t="s">
        <v>3</v>
      </c>
      <c r="C23">
        <v>90.09</v>
      </c>
      <c r="D23">
        <v>75402447120</v>
      </c>
      <c r="E23" t="s">
        <v>4</v>
      </c>
      <c r="F23">
        <v>80.31</v>
      </c>
      <c r="G23">
        <v>19804446000</v>
      </c>
      <c r="H23" t="s">
        <v>5</v>
      </c>
      <c r="I23">
        <v>26.55</v>
      </c>
      <c r="J23">
        <v>578790000</v>
      </c>
      <c r="K23" t="s">
        <v>6</v>
      </c>
      <c r="L23">
        <v>47.34</v>
      </c>
      <c r="M23">
        <v>7545996000</v>
      </c>
    </row>
    <row r="24" spans="1:13">
      <c r="A24" s="1">
        <v>39812</v>
      </c>
      <c r="B24" t="s">
        <v>3</v>
      </c>
      <c r="C24">
        <v>88.97</v>
      </c>
      <c r="D24">
        <v>94042891460</v>
      </c>
      <c r="E24" t="s">
        <v>4</v>
      </c>
      <c r="F24">
        <v>85.9</v>
      </c>
      <c r="G24">
        <v>21758470000</v>
      </c>
      <c r="H24" t="s">
        <v>5</v>
      </c>
      <c r="I24">
        <v>24.58</v>
      </c>
      <c r="J24">
        <v>309708000</v>
      </c>
      <c r="K24" t="s">
        <v>6</v>
      </c>
      <c r="L24">
        <v>48.12</v>
      </c>
      <c r="M24">
        <v>10466100000</v>
      </c>
    </row>
    <row r="25" spans="1:13">
      <c r="A25" s="1">
        <v>39843</v>
      </c>
      <c r="B25" t="s">
        <v>3</v>
      </c>
      <c r="C25">
        <v>82.83</v>
      </c>
      <c r="D25">
        <v>83978719572</v>
      </c>
      <c r="E25" t="s">
        <v>4</v>
      </c>
      <c r="F25">
        <v>91.31</v>
      </c>
      <c r="G25">
        <v>23731469000</v>
      </c>
      <c r="H25" t="s">
        <v>5</v>
      </c>
      <c r="I25">
        <v>25.95</v>
      </c>
      <c r="J25">
        <v>352920000</v>
      </c>
      <c r="K25" t="s">
        <v>6</v>
      </c>
      <c r="L25">
        <v>44.48</v>
      </c>
      <c r="M25">
        <v>9162880000</v>
      </c>
    </row>
    <row r="26" spans="1:13">
      <c r="A26" s="1">
        <v>39871</v>
      </c>
      <c r="B26" t="s">
        <v>3</v>
      </c>
      <c r="C26">
        <v>73.930000000000007</v>
      </c>
      <c r="D26">
        <v>62715462191</v>
      </c>
      <c r="E26" t="s">
        <v>4</v>
      </c>
      <c r="F26">
        <v>92.63</v>
      </c>
      <c r="G26">
        <v>24074537000</v>
      </c>
      <c r="H26" t="s">
        <v>5</v>
      </c>
      <c r="I26">
        <v>26.48</v>
      </c>
      <c r="J26">
        <v>365424000</v>
      </c>
      <c r="K26" t="s">
        <v>6</v>
      </c>
      <c r="L26">
        <v>39.15</v>
      </c>
      <c r="M26">
        <v>6559582500</v>
      </c>
    </row>
    <row r="27" spans="1:13">
      <c r="A27" s="1">
        <v>39903</v>
      </c>
      <c r="B27" t="s">
        <v>3</v>
      </c>
      <c r="C27">
        <v>79.52</v>
      </c>
      <c r="D27">
        <v>60296835200</v>
      </c>
      <c r="E27" t="s">
        <v>4</v>
      </c>
      <c r="F27">
        <v>90.28</v>
      </c>
      <c r="G27">
        <v>33214012000</v>
      </c>
      <c r="H27" t="s">
        <v>5</v>
      </c>
      <c r="I27">
        <v>25.64</v>
      </c>
      <c r="J27">
        <v>246144000</v>
      </c>
      <c r="K27" t="s">
        <v>6</v>
      </c>
      <c r="L27">
        <v>42.05</v>
      </c>
      <c r="M27">
        <v>8220775000</v>
      </c>
    </row>
    <row r="28" spans="1:13">
      <c r="A28" s="1">
        <v>39933</v>
      </c>
      <c r="B28" t="s">
        <v>3</v>
      </c>
      <c r="C28">
        <v>87.42</v>
      </c>
      <c r="D28">
        <v>60556708200</v>
      </c>
      <c r="E28" t="s">
        <v>4</v>
      </c>
      <c r="F28">
        <v>87.27</v>
      </c>
      <c r="G28">
        <v>31530651000</v>
      </c>
      <c r="H28" t="s">
        <v>5</v>
      </c>
      <c r="I28">
        <v>25.34</v>
      </c>
      <c r="J28">
        <v>248332000</v>
      </c>
      <c r="K28" t="s">
        <v>6</v>
      </c>
      <c r="L28">
        <v>48.52</v>
      </c>
      <c r="M28">
        <v>8202306000</v>
      </c>
    </row>
    <row r="29" spans="1:13">
      <c r="A29" s="1">
        <v>39962</v>
      </c>
      <c r="B29" t="s">
        <v>3</v>
      </c>
      <c r="C29">
        <v>92.53</v>
      </c>
      <c r="D29">
        <v>65214218700</v>
      </c>
      <c r="E29" t="s">
        <v>4</v>
      </c>
      <c r="F29">
        <v>96.2</v>
      </c>
      <c r="G29">
        <v>35218820000</v>
      </c>
      <c r="H29" t="s">
        <v>5</v>
      </c>
      <c r="I29">
        <v>23.73</v>
      </c>
      <c r="J29">
        <v>170856000</v>
      </c>
      <c r="K29" t="s">
        <v>6</v>
      </c>
      <c r="L29">
        <v>50.17</v>
      </c>
      <c r="M29">
        <v>9271416000</v>
      </c>
    </row>
    <row r="30" spans="1:13">
      <c r="A30" s="1">
        <v>39994</v>
      </c>
      <c r="B30" t="s">
        <v>3</v>
      </c>
      <c r="C30">
        <v>91.95</v>
      </c>
      <c r="D30">
        <v>64065243000</v>
      </c>
      <c r="E30" t="s">
        <v>4</v>
      </c>
      <c r="F30">
        <v>91.18</v>
      </c>
      <c r="G30">
        <v>33599830000</v>
      </c>
      <c r="H30" t="s">
        <v>5</v>
      </c>
      <c r="I30">
        <v>23.9</v>
      </c>
      <c r="J30">
        <v>215100000</v>
      </c>
      <c r="K30" t="s">
        <v>6</v>
      </c>
      <c r="L30">
        <v>51.08</v>
      </c>
      <c r="M30">
        <v>8826624000</v>
      </c>
    </row>
    <row r="31" spans="1:13">
      <c r="A31" s="1">
        <v>40025</v>
      </c>
      <c r="B31" t="s">
        <v>3</v>
      </c>
      <c r="C31">
        <v>98.81</v>
      </c>
      <c r="D31">
        <v>67056418400</v>
      </c>
      <c r="E31" t="s">
        <v>4</v>
      </c>
      <c r="F31">
        <v>93.35</v>
      </c>
      <c r="G31">
        <v>33111245000</v>
      </c>
      <c r="H31" t="s">
        <v>5</v>
      </c>
      <c r="I31">
        <v>23.32</v>
      </c>
      <c r="J31">
        <v>181896000</v>
      </c>
      <c r="K31" t="s">
        <v>6</v>
      </c>
      <c r="L31">
        <v>55.57</v>
      </c>
      <c r="M31">
        <v>10322127500</v>
      </c>
    </row>
    <row r="32" spans="1:13">
      <c r="A32" s="1">
        <v>40056</v>
      </c>
      <c r="B32" t="s">
        <v>3</v>
      </c>
      <c r="C32">
        <v>102.46</v>
      </c>
      <c r="D32">
        <v>73326523600</v>
      </c>
      <c r="E32" t="s">
        <v>4</v>
      </c>
      <c r="F32">
        <v>93.4</v>
      </c>
      <c r="G32">
        <v>32484520000</v>
      </c>
      <c r="H32" t="s">
        <v>5</v>
      </c>
      <c r="I32">
        <v>23.26</v>
      </c>
      <c r="J32">
        <v>353552000</v>
      </c>
      <c r="K32" t="s">
        <v>6</v>
      </c>
      <c r="L32">
        <v>57.2</v>
      </c>
      <c r="M32">
        <v>12189320000</v>
      </c>
    </row>
    <row r="33" spans="1:13">
      <c r="A33" s="1">
        <v>40086</v>
      </c>
      <c r="B33" t="s">
        <v>3</v>
      </c>
      <c r="C33">
        <v>105.59</v>
      </c>
      <c r="D33">
        <v>70038902900</v>
      </c>
      <c r="E33" t="s">
        <v>4</v>
      </c>
      <c r="F33">
        <v>98.85</v>
      </c>
      <c r="G33">
        <v>35437725000</v>
      </c>
      <c r="H33" t="s">
        <v>5</v>
      </c>
      <c r="I33">
        <v>22.79</v>
      </c>
      <c r="J33">
        <v>501380000</v>
      </c>
      <c r="K33" t="s">
        <v>6</v>
      </c>
      <c r="L33">
        <v>60.24</v>
      </c>
      <c r="M33">
        <v>13084128000</v>
      </c>
    </row>
    <row r="34" spans="1:13">
      <c r="A34" s="1">
        <v>40116</v>
      </c>
      <c r="B34" t="s">
        <v>3</v>
      </c>
      <c r="C34">
        <v>103.56</v>
      </c>
      <c r="D34">
        <v>67097559600</v>
      </c>
      <c r="E34" t="s">
        <v>4</v>
      </c>
      <c r="F34">
        <v>102.53</v>
      </c>
      <c r="G34">
        <v>37156872000</v>
      </c>
      <c r="H34" t="s">
        <v>5</v>
      </c>
      <c r="I34">
        <v>22.7</v>
      </c>
      <c r="J34">
        <v>730940000</v>
      </c>
      <c r="K34" t="s">
        <v>6</v>
      </c>
      <c r="L34">
        <v>56.33</v>
      </c>
      <c r="M34">
        <v>11097010000</v>
      </c>
    </row>
    <row r="35" spans="1:13">
      <c r="A35" s="1">
        <v>40147</v>
      </c>
      <c r="B35" t="s">
        <v>3</v>
      </c>
      <c r="C35">
        <v>109.94</v>
      </c>
      <c r="D35">
        <v>72321830200</v>
      </c>
      <c r="E35" t="s">
        <v>4</v>
      </c>
      <c r="F35">
        <v>115.64</v>
      </c>
      <c r="G35">
        <v>42763672000</v>
      </c>
      <c r="H35" t="s">
        <v>5</v>
      </c>
      <c r="I35">
        <v>22.17</v>
      </c>
      <c r="J35">
        <v>1365672000</v>
      </c>
      <c r="K35" t="s">
        <v>6</v>
      </c>
      <c r="L35">
        <v>58.09</v>
      </c>
      <c r="M35">
        <v>11690612500</v>
      </c>
    </row>
    <row r="36" spans="1:13">
      <c r="A36" s="1">
        <v>40177</v>
      </c>
      <c r="B36" t="s">
        <v>3</v>
      </c>
      <c r="C36">
        <v>112.52</v>
      </c>
      <c r="D36">
        <v>85844883600</v>
      </c>
      <c r="E36" t="s">
        <v>4</v>
      </c>
      <c r="F36">
        <v>106.93</v>
      </c>
      <c r="G36">
        <v>39724495000</v>
      </c>
      <c r="H36" t="s">
        <v>5</v>
      </c>
      <c r="I36">
        <v>23.04</v>
      </c>
      <c r="J36">
        <v>3271680000</v>
      </c>
      <c r="K36" t="s">
        <v>6</v>
      </c>
      <c r="L36">
        <v>63.19</v>
      </c>
      <c r="M36">
        <v>13879683500</v>
      </c>
    </row>
    <row r="37" spans="1:13">
      <c r="A37" s="1">
        <v>40207</v>
      </c>
      <c r="B37" t="s">
        <v>3</v>
      </c>
      <c r="C37">
        <v>107.39</v>
      </c>
      <c r="D37">
        <v>65827922200</v>
      </c>
      <c r="E37" t="s">
        <v>4</v>
      </c>
      <c r="F37">
        <v>105.96</v>
      </c>
      <c r="G37">
        <v>38654208000</v>
      </c>
      <c r="H37" t="s">
        <v>5</v>
      </c>
      <c r="I37">
        <v>23.45</v>
      </c>
      <c r="J37">
        <v>2157400000</v>
      </c>
      <c r="K37" t="s">
        <v>6</v>
      </c>
      <c r="L37">
        <v>60.11</v>
      </c>
      <c r="M37">
        <v>12256429000</v>
      </c>
    </row>
    <row r="38" spans="1:13">
      <c r="A38" s="1">
        <v>40235</v>
      </c>
      <c r="B38" t="s">
        <v>3</v>
      </c>
      <c r="C38">
        <v>110.74</v>
      </c>
      <c r="D38">
        <v>70179260200</v>
      </c>
      <c r="E38" t="s">
        <v>4</v>
      </c>
      <c r="F38">
        <v>109.43</v>
      </c>
      <c r="G38">
        <v>39755919000</v>
      </c>
      <c r="H38" t="s">
        <v>5</v>
      </c>
      <c r="I38">
        <v>23.64</v>
      </c>
      <c r="J38">
        <v>2122872000</v>
      </c>
      <c r="K38" t="s">
        <v>6</v>
      </c>
      <c r="L38">
        <v>62.8</v>
      </c>
      <c r="M38">
        <v>13335580000</v>
      </c>
    </row>
    <row r="39" spans="1:13">
      <c r="A39" s="1">
        <v>40268</v>
      </c>
      <c r="B39" t="s">
        <v>3</v>
      </c>
      <c r="C39">
        <v>117</v>
      </c>
      <c r="D39">
        <v>79364610000</v>
      </c>
      <c r="E39" t="s">
        <v>4</v>
      </c>
      <c r="F39">
        <v>108.95</v>
      </c>
      <c r="G39">
        <v>40409555000</v>
      </c>
      <c r="H39" t="s">
        <v>5</v>
      </c>
      <c r="I39">
        <v>23.8</v>
      </c>
      <c r="J39">
        <v>1675520000</v>
      </c>
      <c r="K39" t="s">
        <v>6</v>
      </c>
      <c r="L39">
        <v>67.8</v>
      </c>
      <c r="M39">
        <v>13549830000</v>
      </c>
    </row>
    <row r="40" spans="1:13">
      <c r="A40" s="1">
        <v>40298</v>
      </c>
      <c r="B40" t="s">
        <v>3</v>
      </c>
      <c r="C40">
        <v>118.81</v>
      </c>
      <c r="D40">
        <v>74426148300</v>
      </c>
      <c r="E40" t="s">
        <v>4</v>
      </c>
      <c r="F40">
        <v>115.36</v>
      </c>
      <c r="G40">
        <v>43906016000</v>
      </c>
      <c r="H40" t="s">
        <v>5</v>
      </c>
      <c r="I40">
        <v>23.96</v>
      </c>
      <c r="J40">
        <v>1399264000</v>
      </c>
      <c r="K40" t="s">
        <v>6</v>
      </c>
      <c r="L40">
        <v>71.650000000000006</v>
      </c>
      <c r="M40">
        <v>14598687500</v>
      </c>
    </row>
    <row r="41" spans="1:13">
      <c r="A41" s="1">
        <v>40326</v>
      </c>
      <c r="B41" t="s">
        <v>3</v>
      </c>
      <c r="C41">
        <v>109.37</v>
      </c>
      <c r="D41">
        <v>67747059100</v>
      </c>
      <c r="E41" t="s">
        <v>4</v>
      </c>
      <c r="F41">
        <v>118.88</v>
      </c>
      <c r="G41">
        <v>49513520000</v>
      </c>
      <c r="H41" t="s">
        <v>5</v>
      </c>
      <c r="I41">
        <v>25.34</v>
      </c>
      <c r="J41">
        <v>1145368000</v>
      </c>
      <c r="K41" t="s">
        <v>6</v>
      </c>
      <c r="L41">
        <v>66.25</v>
      </c>
      <c r="M41">
        <v>13750187500</v>
      </c>
    </row>
    <row r="42" spans="1:13">
      <c r="A42" s="1">
        <v>40359</v>
      </c>
      <c r="B42" t="s">
        <v>3</v>
      </c>
      <c r="C42">
        <v>103.22</v>
      </c>
      <c r="D42">
        <v>73511219600</v>
      </c>
      <c r="E42" t="s">
        <v>4</v>
      </c>
      <c r="F42">
        <v>121.68</v>
      </c>
      <c r="G42">
        <v>52796952000</v>
      </c>
      <c r="H42" t="s">
        <v>5</v>
      </c>
      <c r="I42">
        <v>25.06</v>
      </c>
      <c r="J42">
        <v>1177820000</v>
      </c>
      <c r="K42" t="s">
        <v>6</v>
      </c>
      <c r="L42">
        <v>61.12</v>
      </c>
      <c r="M42">
        <v>12425696000</v>
      </c>
    </row>
    <row r="43" spans="1:13">
      <c r="A43" s="1">
        <v>40389</v>
      </c>
      <c r="B43" t="s">
        <v>3</v>
      </c>
      <c r="C43">
        <v>110.27</v>
      </c>
      <c r="D43">
        <v>72836643100</v>
      </c>
      <c r="E43" t="s">
        <v>4</v>
      </c>
      <c r="F43">
        <v>115.49</v>
      </c>
      <c r="G43">
        <v>48679035000</v>
      </c>
      <c r="H43" t="s">
        <v>5</v>
      </c>
      <c r="I43">
        <v>23.74</v>
      </c>
      <c r="J43">
        <v>883128000</v>
      </c>
      <c r="K43" t="s">
        <v>6</v>
      </c>
      <c r="L43">
        <v>65.02</v>
      </c>
      <c r="M43">
        <v>15061883000</v>
      </c>
    </row>
    <row r="44" spans="1:13">
      <c r="A44" s="1">
        <v>40421</v>
      </c>
      <c r="B44" t="s">
        <v>3</v>
      </c>
      <c r="C44">
        <v>105.31</v>
      </c>
      <c r="D44">
        <v>65916688300</v>
      </c>
      <c r="E44" t="s">
        <v>4</v>
      </c>
      <c r="F44">
        <v>122.08</v>
      </c>
      <c r="G44">
        <v>52128160000</v>
      </c>
      <c r="H44" t="s">
        <v>5</v>
      </c>
      <c r="I44">
        <v>24.12</v>
      </c>
      <c r="J44">
        <v>1075752000</v>
      </c>
      <c r="K44" t="s">
        <v>6</v>
      </c>
      <c r="L44">
        <v>60.18</v>
      </c>
      <c r="M44">
        <v>12746124000</v>
      </c>
    </row>
    <row r="45" spans="1:13">
      <c r="A45" s="1">
        <v>40451</v>
      </c>
      <c r="B45" t="s">
        <v>3</v>
      </c>
      <c r="C45">
        <v>114.13</v>
      </c>
      <c r="D45">
        <v>78011278900</v>
      </c>
      <c r="E45" t="s">
        <v>4</v>
      </c>
      <c r="F45">
        <v>127.91</v>
      </c>
      <c r="G45">
        <v>54937345000</v>
      </c>
      <c r="H45" t="s">
        <v>5</v>
      </c>
      <c r="I45">
        <v>22.84</v>
      </c>
      <c r="J45">
        <v>749152000</v>
      </c>
      <c r="K45" t="s">
        <v>6</v>
      </c>
      <c r="L45">
        <v>67.5</v>
      </c>
      <c r="M45">
        <v>12848625000</v>
      </c>
    </row>
    <row r="46" spans="1:13">
      <c r="A46" s="1">
        <v>40480</v>
      </c>
      <c r="B46" t="s">
        <v>3</v>
      </c>
      <c r="C46">
        <v>118.49</v>
      </c>
      <c r="D46">
        <v>81577995200</v>
      </c>
      <c r="E46" t="s">
        <v>4</v>
      </c>
      <c r="F46">
        <v>132.62</v>
      </c>
      <c r="G46">
        <v>56429810000</v>
      </c>
      <c r="H46" t="s">
        <v>5</v>
      </c>
      <c r="I46">
        <v>22.37</v>
      </c>
      <c r="J46">
        <v>1257194000</v>
      </c>
      <c r="K46" t="s">
        <v>6</v>
      </c>
      <c r="L46">
        <v>70.3</v>
      </c>
      <c r="M46">
        <v>12998470000</v>
      </c>
    </row>
    <row r="47" spans="1:13">
      <c r="A47" s="1">
        <v>40512</v>
      </c>
      <c r="B47" t="s">
        <v>3</v>
      </c>
      <c r="C47">
        <v>118.49</v>
      </c>
      <c r="D47">
        <v>78544651200</v>
      </c>
      <c r="E47" t="s">
        <v>4</v>
      </c>
      <c r="F47">
        <v>135.41999999999999</v>
      </c>
      <c r="G47">
        <v>57350370000</v>
      </c>
      <c r="H47" t="s">
        <v>5</v>
      </c>
      <c r="I47">
        <v>23.5</v>
      </c>
      <c r="J47">
        <v>1165600000</v>
      </c>
      <c r="K47" t="s">
        <v>6</v>
      </c>
      <c r="L47">
        <v>72.75</v>
      </c>
      <c r="M47">
        <v>14702775000</v>
      </c>
    </row>
    <row r="48" spans="1:13">
      <c r="A48" s="1">
        <v>40542</v>
      </c>
      <c r="B48" t="s">
        <v>3</v>
      </c>
      <c r="C48">
        <v>125.72</v>
      </c>
      <c r="D48">
        <v>90943333600</v>
      </c>
      <c r="E48" t="s">
        <v>4</v>
      </c>
      <c r="F48">
        <v>137.03</v>
      </c>
      <c r="G48">
        <v>57799254000</v>
      </c>
      <c r="H48" t="s">
        <v>5</v>
      </c>
      <c r="I48">
        <v>22.92</v>
      </c>
      <c r="J48">
        <v>1003896000</v>
      </c>
      <c r="K48" t="s">
        <v>6</v>
      </c>
      <c r="L48">
        <v>78.760000000000005</v>
      </c>
      <c r="M48">
        <v>18532228000</v>
      </c>
    </row>
    <row r="49" spans="1:13">
      <c r="A49" s="1">
        <v>40574</v>
      </c>
      <c r="B49" t="s">
        <v>3</v>
      </c>
      <c r="C49">
        <v>128.68</v>
      </c>
      <c r="D49">
        <v>93496314400</v>
      </c>
      <c r="E49" t="s">
        <v>4</v>
      </c>
      <c r="F49">
        <v>129.87</v>
      </c>
      <c r="G49">
        <v>52493454000</v>
      </c>
      <c r="H49" t="s">
        <v>5</v>
      </c>
      <c r="I49">
        <v>22.36</v>
      </c>
      <c r="J49">
        <v>934648000</v>
      </c>
      <c r="K49" t="s">
        <v>6</v>
      </c>
      <c r="L49">
        <v>77.95</v>
      </c>
      <c r="M49">
        <v>15558820000</v>
      </c>
    </row>
    <row r="50" spans="1:13">
      <c r="A50" s="1">
        <v>40602</v>
      </c>
      <c r="B50" t="s">
        <v>3</v>
      </c>
      <c r="C50">
        <v>133.15</v>
      </c>
      <c r="D50">
        <v>95359367000</v>
      </c>
      <c r="E50" t="s">
        <v>4</v>
      </c>
      <c r="F50">
        <v>137.66</v>
      </c>
      <c r="G50">
        <v>54953872000</v>
      </c>
      <c r="H50" t="s">
        <v>5</v>
      </c>
      <c r="I50">
        <v>22.09</v>
      </c>
      <c r="J50">
        <v>892436000</v>
      </c>
      <c r="K50" t="s">
        <v>6</v>
      </c>
      <c r="L50">
        <v>82.27</v>
      </c>
      <c r="M50">
        <v>16770739500</v>
      </c>
    </row>
    <row r="51" spans="1:13">
      <c r="A51" s="1">
        <v>40633</v>
      </c>
      <c r="B51" t="s">
        <v>3</v>
      </c>
      <c r="C51">
        <v>132.59</v>
      </c>
      <c r="D51">
        <v>89906627200</v>
      </c>
      <c r="E51" t="s">
        <v>4</v>
      </c>
      <c r="F51">
        <v>139.86000000000001</v>
      </c>
      <c r="G51">
        <v>55832112000</v>
      </c>
      <c r="H51" t="s">
        <v>5</v>
      </c>
      <c r="I51">
        <v>21.79</v>
      </c>
      <c r="J51">
        <v>832378000</v>
      </c>
      <c r="K51" t="s">
        <v>6</v>
      </c>
      <c r="L51">
        <v>84.17</v>
      </c>
      <c r="M51">
        <v>17242224500</v>
      </c>
    </row>
    <row r="52" spans="1:13">
      <c r="A52" s="1">
        <v>40662</v>
      </c>
      <c r="B52" t="s">
        <v>3</v>
      </c>
      <c r="C52">
        <v>136.43</v>
      </c>
      <c r="D52">
        <v>95225411400</v>
      </c>
      <c r="E52" t="s">
        <v>4</v>
      </c>
      <c r="F52">
        <v>152.37</v>
      </c>
      <c r="G52">
        <v>61770798000</v>
      </c>
      <c r="H52" t="s">
        <v>5</v>
      </c>
      <c r="I52">
        <v>20.95</v>
      </c>
      <c r="J52">
        <v>800290000</v>
      </c>
      <c r="K52" t="s">
        <v>6</v>
      </c>
      <c r="L52">
        <v>86.39</v>
      </c>
      <c r="M52">
        <v>18353555500</v>
      </c>
    </row>
    <row r="53" spans="1:13">
      <c r="A53" s="1">
        <v>40694</v>
      </c>
      <c r="B53" t="s">
        <v>3</v>
      </c>
      <c r="C53">
        <v>134.9</v>
      </c>
      <c r="D53">
        <v>89226907000</v>
      </c>
      <c r="E53" t="s">
        <v>4</v>
      </c>
      <c r="F53">
        <v>149.63999999999999</v>
      </c>
      <c r="G53">
        <v>59751252000</v>
      </c>
      <c r="H53" t="s">
        <v>5</v>
      </c>
      <c r="I53">
        <v>21.34</v>
      </c>
      <c r="J53">
        <v>1139556000</v>
      </c>
      <c r="K53" t="s">
        <v>6</v>
      </c>
      <c r="L53">
        <v>84.84</v>
      </c>
      <c r="M53">
        <v>16064454000</v>
      </c>
    </row>
    <row r="54" spans="1:13">
      <c r="A54" s="1">
        <v>40724</v>
      </c>
      <c r="B54" t="s">
        <v>3</v>
      </c>
      <c r="C54">
        <v>131.97</v>
      </c>
      <c r="D54">
        <v>92759073600</v>
      </c>
      <c r="E54" t="s">
        <v>4</v>
      </c>
      <c r="F54">
        <v>146</v>
      </c>
      <c r="G54">
        <v>58195600000</v>
      </c>
      <c r="H54" t="s">
        <v>5</v>
      </c>
      <c r="I54">
        <v>21.22</v>
      </c>
      <c r="J54">
        <v>1052512000</v>
      </c>
      <c r="K54" t="s">
        <v>6</v>
      </c>
      <c r="L54">
        <v>82.8</v>
      </c>
      <c r="M54">
        <v>16203960000</v>
      </c>
    </row>
    <row r="55" spans="1:13">
      <c r="A55" s="1">
        <v>40753</v>
      </c>
      <c r="B55" t="s">
        <v>3</v>
      </c>
      <c r="C55">
        <v>129.33000000000001</v>
      </c>
      <c r="D55">
        <v>91362591900</v>
      </c>
      <c r="E55" t="s">
        <v>4</v>
      </c>
      <c r="F55">
        <v>158.29</v>
      </c>
      <c r="G55">
        <v>66006930000</v>
      </c>
      <c r="H55" t="s">
        <v>5</v>
      </c>
      <c r="I55">
        <v>21.03</v>
      </c>
      <c r="J55">
        <v>1051500000</v>
      </c>
      <c r="K55" t="s">
        <v>6</v>
      </c>
      <c r="L55">
        <v>79.739999999999995</v>
      </c>
      <c r="M55">
        <v>14225616000</v>
      </c>
    </row>
    <row r="56" spans="1:13">
      <c r="A56" s="1">
        <v>40786</v>
      </c>
      <c r="B56" t="s">
        <v>3</v>
      </c>
      <c r="C56">
        <v>122.22</v>
      </c>
      <c r="D56">
        <v>91760331600</v>
      </c>
      <c r="E56" t="s">
        <v>4</v>
      </c>
      <c r="F56">
        <v>177.72</v>
      </c>
      <c r="G56">
        <v>72207636000</v>
      </c>
      <c r="H56" t="s">
        <v>5</v>
      </c>
      <c r="I56">
        <v>21.07</v>
      </c>
      <c r="J56">
        <v>931294000</v>
      </c>
      <c r="K56" t="s">
        <v>6</v>
      </c>
      <c r="L56">
        <v>72.650000000000006</v>
      </c>
      <c r="M56">
        <v>14224870000</v>
      </c>
    </row>
    <row r="57" spans="1:13">
      <c r="A57" s="1">
        <v>40816</v>
      </c>
      <c r="B57" t="s">
        <v>3</v>
      </c>
      <c r="C57">
        <v>113.15</v>
      </c>
      <c r="D57">
        <v>80911302000</v>
      </c>
      <c r="E57" t="s">
        <v>4</v>
      </c>
      <c r="F57">
        <v>158.06</v>
      </c>
      <c r="G57">
        <v>64298808000</v>
      </c>
      <c r="H57" t="s">
        <v>5</v>
      </c>
      <c r="I57">
        <v>22.31</v>
      </c>
      <c r="J57">
        <v>1722332000</v>
      </c>
      <c r="K57" t="s">
        <v>6</v>
      </c>
      <c r="L57">
        <v>64.3</v>
      </c>
      <c r="M57">
        <v>12622090000</v>
      </c>
    </row>
    <row r="58" spans="1:13">
      <c r="A58" s="1">
        <v>40847</v>
      </c>
      <c r="B58" t="s">
        <v>3</v>
      </c>
      <c r="C58">
        <v>125.5</v>
      </c>
      <c r="D58">
        <v>90915965000</v>
      </c>
      <c r="E58" t="s">
        <v>4</v>
      </c>
      <c r="F58">
        <v>167.34</v>
      </c>
      <c r="G58">
        <v>68743272000</v>
      </c>
      <c r="H58" t="s">
        <v>5</v>
      </c>
      <c r="I58">
        <v>21.57</v>
      </c>
      <c r="J58">
        <v>1665204000</v>
      </c>
      <c r="K58" t="s">
        <v>6</v>
      </c>
      <c r="L58">
        <v>74.010000000000005</v>
      </c>
      <c r="M58">
        <v>16152682500</v>
      </c>
    </row>
    <row r="59" spans="1:13">
      <c r="A59" s="1">
        <v>40877</v>
      </c>
      <c r="B59" t="s">
        <v>3</v>
      </c>
      <c r="C59">
        <v>124.99</v>
      </c>
      <c r="D59">
        <v>84965702200</v>
      </c>
      <c r="E59" t="s">
        <v>4</v>
      </c>
      <c r="F59">
        <v>170.13</v>
      </c>
      <c r="G59">
        <v>72934731000</v>
      </c>
      <c r="H59" t="s">
        <v>5</v>
      </c>
      <c r="I59">
        <v>22.06</v>
      </c>
      <c r="J59">
        <v>1522140000</v>
      </c>
      <c r="K59" t="s">
        <v>6</v>
      </c>
      <c r="L59">
        <v>73.73</v>
      </c>
      <c r="M59">
        <v>13393054500</v>
      </c>
    </row>
    <row r="60" spans="1:13">
      <c r="A60" s="1">
        <v>40906</v>
      </c>
      <c r="B60" t="s">
        <v>3</v>
      </c>
      <c r="C60">
        <v>126.12</v>
      </c>
      <c r="D60">
        <v>88729203600</v>
      </c>
      <c r="E60" t="s">
        <v>4</v>
      </c>
      <c r="F60">
        <v>150.34</v>
      </c>
      <c r="G60">
        <v>63608854000</v>
      </c>
      <c r="H60" t="s">
        <v>5</v>
      </c>
      <c r="I60">
        <v>22.51</v>
      </c>
      <c r="J60">
        <v>1908848000</v>
      </c>
      <c r="K60" t="s">
        <v>6</v>
      </c>
      <c r="L60">
        <v>74.150000000000006</v>
      </c>
      <c r="M60">
        <v>14885612500</v>
      </c>
    </row>
    <row r="61" spans="1:13">
      <c r="A61" s="1">
        <v>40939</v>
      </c>
      <c r="B61" t="s">
        <v>3</v>
      </c>
      <c r="C61">
        <v>131.32</v>
      </c>
      <c r="D61">
        <v>92387559600</v>
      </c>
      <c r="E61" t="s">
        <v>4</v>
      </c>
      <c r="F61">
        <v>169.31</v>
      </c>
      <c r="G61">
        <v>70212857000</v>
      </c>
      <c r="H61" t="s">
        <v>5</v>
      </c>
      <c r="I61">
        <v>22.12</v>
      </c>
      <c r="J61">
        <v>1535128000</v>
      </c>
      <c r="K61" t="s">
        <v>6</v>
      </c>
      <c r="L61">
        <v>79.02</v>
      </c>
      <c r="M61">
        <v>15697323000</v>
      </c>
    </row>
    <row r="62" spans="1:13">
      <c r="A62" s="1">
        <v>40968</v>
      </c>
      <c r="B62" t="s">
        <v>3</v>
      </c>
      <c r="C62">
        <v>137.02000000000001</v>
      </c>
      <c r="D62">
        <v>98117281600</v>
      </c>
      <c r="E62" t="s">
        <v>4</v>
      </c>
      <c r="F62">
        <v>164.29</v>
      </c>
      <c r="G62">
        <v>69445383000</v>
      </c>
      <c r="H62" t="s">
        <v>5</v>
      </c>
      <c r="I62">
        <v>21.96</v>
      </c>
      <c r="J62">
        <v>1256112000</v>
      </c>
      <c r="K62" t="s">
        <v>6</v>
      </c>
      <c r="L62">
        <v>81.05</v>
      </c>
      <c r="M62">
        <v>16603092500</v>
      </c>
    </row>
    <row r="63" spans="1:13">
      <c r="A63" s="1">
        <v>40998</v>
      </c>
      <c r="B63" t="s">
        <v>3</v>
      </c>
      <c r="C63">
        <v>140.81</v>
      </c>
      <c r="D63">
        <v>105639886300</v>
      </c>
      <c r="E63" t="s">
        <v>4</v>
      </c>
      <c r="F63">
        <v>162.12</v>
      </c>
      <c r="G63">
        <v>69371148000</v>
      </c>
      <c r="H63" t="s">
        <v>5</v>
      </c>
      <c r="I63">
        <v>21.91</v>
      </c>
      <c r="J63">
        <v>1266398000</v>
      </c>
      <c r="K63" t="s">
        <v>6</v>
      </c>
      <c r="L63">
        <v>82.81</v>
      </c>
      <c r="M63">
        <v>14843692500</v>
      </c>
    </row>
    <row r="64" spans="1:13">
      <c r="A64" s="1">
        <v>41029</v>
      </c>
      <c r="B64" t="s">
        <v>3</v>
      </c>
      <c r="C64">
        <v>139.87</v>
      </c>
      <c r="D64">
        <v>103102373100</v>
      </c>
      <c r="E64" t="s">
        <v>4</v>
      </c>
      <c r="F64">
        <v>161.88</v>
      </c>
      <c r="G64">
        <v>68491428000</v>
      </c>
      <c r="H64" t="s">
        <v>5</v>
      </c>
      <c r="I64">
        <v>21.81</v>
      </c>
      <c r="J64">
        <v>1234446000</v>
      </c>
      <c r="K64" t="s">
        <v>6</v>
      </c>
      <c r="L64">
        <v>81.47</v>
      </c>
      <c r="M64">
        <v>15365242000</v>
      </c>
    </row>
    <row r="65" spans="1:13">
      <c r="A65" s="1">
        <v>41060</v>
      </c>
      <c r="B65" t="s">
        <v>3</v>
      </c>
      <c r="C65">
        <v>131.47</v>
      </c>
      <c r="D65">
        <v>96621247100</v>
      </c>
      <c r="E65" t="s">
        <v>4</v>
      </c>
      <c r="F65">
        <v>151.62</v>
      </c>
      <c r="G65">
        <v>63771372000</v>
      </c>
      <c r="H65" t="s">
        <v>5</v>
      </c>
      <c r="I65">
        <v>22.99</v>
      </c>
      <c r="J65">
        <v>1144902000</v>
      </c>
      <c r="K65" t="s">
        <v>6</v>
      </c>
      <c r="L65">
        <v>76.11</v>
      </c>
      <c r="M65">
        <v>13562802000</v>
      </c>
    </row>
    <row r="66" spans="1:13">
      <c r="A66" s="1">
        <v>41089</v>
      </c>
      <c r="B66" t="s">
        <v>3</v>
      </c>
      <c r="C66">
        <v>136.11000000000001</v>
      </c>
      <c r="D66">
        <v>103665459300</v>
      </c>
      <c r="E66" t="s">
        <v>4</v>
      </c>
      <c r="F66">
        <v>155.19</v>
      </c>
      <c r="G66">
        <v>65660889000</v>
      </c>
      <c r="H66" t="s">
        <v>5</v>
      </c>
      <c r="I66">
        <v>22.47</v>
      </c>
      <c r="J66">
        <v>1154958000</v>
      </c>
      <c r="K66" t="s">
        <v>6</v>
      </c>
      <c r="L66">
        <v>79.56</v>
      </c>
      <c r="M66">
        <v>14718600000</v>
      </c>
    </row>
    <row r="67" spans="1:13">
      <c r="A67" s="1">
        <v>41121</v>
      </c>
      <c r="B67" t="s">
        <v>3</v>
      </c>
      <c r="C67">
        <v>137.71</v>
      </c>
      <c r="D67">
        <v>107666084720</v>
      </c>
      <c r="E67" t="s">
        <v>4</v>
      </c>
      <c r="F67">
        <v>156.49</v>
      </c>
      <c r="G67">
        <v>65052893000</v>
      </c>
      <c r="H67" t="s">
        <v>5</v>
      </c>
      <c r="I67">
        <v>22.71</v>
      </c>
      <c r="J67">
        <v>1190004000</v>
      </c>
      <c r="K67" t="s">
        <v>6</v>
      </c>
      <c r="L67">
        <v>78.349999999999994</v>
      </c>
      <c r="M67">
        <v>15650412500</v>
      </c>
    </row>
    <row r="68" spans="1:13">
      <c r="A68" s="1">
        <v>41152</v>
      </c>
      <c r="B68" t="s">
        <v>3</v>
      </c>
      <c r="C68">
        <v>141.16</v>
      </c>
      <c r="D68">
        <v>108090446800</v>
      </c>
      <c r="E68" t="s">
        <v>4</v>
      </c>
      <c r="F68">
        <v>164.22</v>
      </c>
      <c r="G68">
        <v>70187628000</v>
      </c>
      <c r="H68" t="s">
        <v>5</v>
      </c>
      <c r="I68">
        <v>22.3</v>
      </c>
      <c r="J68">
        <v>1119460000</v>
      </c>
      <c r="K68" t="s">
        <v>6</v>
      </c>
      <c r="L68">
        <v>81.12</v>
      </c>
      <c r="M68">
        <v>15246504000</v>
      </c>
    </row>
    <row r="69" spans="1:13">
      <c r="A69" s="1">
        <v>41180</v>
      </c>
      <c r="B69" t="s">
        <v>3</v>
      </c>
      <c r="C69">
        <v>143.97</v>
      </c>
      <c r="D69">
        <v>118333262100</v>
      </c>
      <c r="E69" t="s">
        <v>4</v>
      </c>
      <c r="F69">
        <v>171.89</v>
      </c>
      <c r="G69">
        <v>75614411000</v>
      </c>
      <c r="H69" t="s">
        <v>5</v>
      </c>
      <c r="I69">
        <v>21.92</v>
      </c>
      <c r="J69">
        <v>1034624000</v>
      </c>
      <c r="K69" t="s">
        <v>6</v>
      </c>
      <c r="L69">
        <v>83.44</v>
      </c>
      <c r="M69">
        <v>17801924000</v>
      </c>
    </row>
    <row r="70" spans="1:13">
      <c r="A70" s="1">
        <v>41213</v>
      </c>
      <c r="B70" t="s">
        <v>3</v>
      </c>
      <c r="C70">
        <v>141.35</v>
      </c>
      <c r="D70">
        <v>107105135500</v>
      </c>
      <c r="E70" t="s">
        <v>4</v>
      </c>
      <c r="F70">
        <v>166.83</v>
      </c>
      <c r="G70">
        <v>73972422000</v>
      </c>
      <c r="H70" t="s">
        <v>5</v>
      </c>
      <c r="I70">
        <v>21.89</v>
      </c>
      <c r="J70">
        <v>862466000</v>
      </c>
      <c r="K70" t="s">
        <v>6</v>
      </c>
      <c r="L70">
        <v>81.63</v>
      </c>
      <c r="M70">
        <v>16477015500</v>
      </c>
    </row>
    <row r="71" spans="1:13">
      <c r="A71" s="1">
        <v>41243</v>
      </c>
      <c r="B71" t="s">
        <v>3</v>
      </c>
      <c r="C71">
        <v>142.16</v>
      </c>
      <c r="D71">
        <v>110889064800</v>
      </c>
      <c r="E71" t="s">
        <v>4</v>
      </c>
      <c r="F71">
        <v>166.05</v>
      </c>
      <c r="G71">
        <v>73942065000</v>
      </c>
      <c r="H71" t="s">
        <v>5</v>
      </c>
      <c r="I71">
        <v>21.92</v>
      </c>
      <c r="J71">
        <v>802272000</v>
      </c>
      <c r="K71" t="s">
        <v>6</v>
      </c>
      <c r="L71">
        <v>82.08</v>
      </c>
      <c r="M71">
        <v>15652656000</v>
      </c>
    </row>
    <row r="72" spans="1:13">
      <c r="A72" s="1">
        <v>41271</v>
      </c>
      <c r="B72" t="s">
        <v>3</v>
      </c>
      <c r="C72">
        <v>140.03</v>
      </c>
      <c r="D72">
        <v>120380990400</v>
      </c>
      <c r="E72" t="s">
        <v>4</v>
      </c>
      <c r="F72">
        <v>160.54</v>
      </c>
      <c r="G72">
        <v>71970082000</v>
      </c>
      <c r="H72" t="s">
        <v>5</v>
      </c>
      <c r="I72">
        <v>21.78</v>
      </c>
      <c r="J72">
        <v>757944000</v>
      </c>
      <c r="K72" t="s">
        <v>6</v>
      </c>
      <c r="L72">
        <v>82.53</v>
      </c>
      <c r="M72">
        <v>15317568000</v>
      </c>
    </row>
    <row r="73" spans="1:13">
      <c r="A73" s="1">
        <v>41305</v>
      </c>
      <c r="B73" t="s">
        <v>3</v>
      </c>
      <c r="C73">
        <v>149.69999999999999</v>
      </c>
      <c r="D73">
        <v>127638711000</v>
      </c>
      <c r="E73" t="s">
        <v>4</v>
      </c>
      <c r="F73">
        <v>161.19999999999999</v>
      </c>
      <c r="G73">
        <v>71073080000</v>
      </c>
      <c r="H73" t="s">
        <v>5</v>
      </c>
      <c r="I73">
        <v>21.62</v>
      </c>
      <c r="J73">
        <v>631304000</v>
      </c>
      <c r="K73" t="s">
        <v>6</v>
      </c>
      <c r="L73">
        <v>89.58</v>
      </c>
      <c r="M73">
        <v>18354942000</v>
      </c>
    </row>
    <row r="74" spans="1:13">
      <c r="A74" s="1">
        <v>41333</v>
      </c>
      <c r="B74" t="s">
        <v>3</v>
      </c>
      <c r="C74">
        <v>151.61000000000001</v>
      </c>
      <c r="D74">
        <v>124953929800</v>
      </c>
      <c r="E74" t="s">
        <v>4</v>
      </c>
      <c r="F74">
        <v>153</v>
      </c>
      <c r="G74">
        <v>63739800000</v>
      </c>
      <c r="H74" t="s">
        <v>5</v>
      </c>
      <c r="I74">
        <v>22.37</v>
      </c>
      <c r="J74">
        <v>617412000</v>
      </c>
      <c r="K74" t="s">
        <v>6</v>
      </c>
      <c r="L74">
        <v>90.48</v>
      </c>
      <c r="M74">
        <v>19303908000</v>
      </c>
    </row>
    <row r="75" spans="1:13">
      <c r="A75" s="1">
        <v>41361</v>
      </c>
      <c r="B75" t="s">
        <v>3</v>
      </c>
      <c r="C75">
        <v>156.66999999999999</v>
      </c>
      <c r="D75">
        <v>129375265940</v>
      </c>
      <c r="E75" t="s">
        <v>4</v>
      </c>
      <c r="F75">
        <v>154.47</v>
      </c>
      <c r="G75">
        <v>62668479000</v>
      </c>
      <c r="H75" t="s">
        <v>5</v>
      </c>
      <c r="I75">
        <v>22.6</v>
      </c>
      <c r="J75">
        <v>727720000</v>
      </c>
      <c r="K75" t="s">
        <v>6</v>
      </c>
      <c r="L75">
        <v>94.43</v>
      </c>
      <c r="M75">
        <v>21473382000</v>
      </c>
    </row>
    <row r="76" spans="1:13">
      <c r="A76" s="1">
        <v>41394</v>
      </c>
      <c r="B76" t="s">
        <v>3</v>
      </c>
      <c r="C76">
        <v>159.68</v>
      </c>
      <c r="D76">
        <v>131373526400</v>
      </c>
      <c r="E76" t="s">
        <v>4</v>
      </c>
      <c r="F76">
        <v>142.77000000000001</v>
      </c>
      <c r="G76">
        <v>51382923000</v>
      </c>
      <c r="H76" t="s">
        <v>5</v>
      </c>
      <c r="I76">
        <v>22.2</v>
      </c>
      <c r="J76">
        <v>670440000</v>
      </c>
      <c r="K76" t="s">
        <v>6</v>
      </c>
      <c r="L76">
        <v>94.1</v>
      </c>
      <c r="M76">
        <v>20904315000</v>
      </c>
    </row>
    <row r="77" spans="1:13">
      <c r="A77" s="1">
        <v>41425</v>
      </c>
      <c r="B77" t="s">
        <v>3</v>
      </c>
      <c r="C77">
        <v>163.44999999999999</v>
      </c>
      <c r="D77">
        <v>139231940400</v>
      </c>
      <c r="E77" t="s">
        <v>4</v>
      </c>
      <c r="F77">
        <v>133.91999999999999</v>
      </c>
      <c r="G77">
        <v>45104256000</v>
      </c>
      <c r="H77" t="s">
        <v>5</v>
      </c>
      <c r="I77">
        <v>22.61</v>
      </c>
      <c r="J77">
        <v>691866000</v>
      </c>
      <c r="K77" t="s">
        <v>6</v>
      </c>
      <c r="L77">
        <v>97.8</v>
      </c>
      <c r="M77">
        <v>20626020000</v>
      </c>
    </row>
    <row r="78" spans="1:13">
      <c r="A78" s="1">
        <v>41453</v>
      </c>
      <c r="B78" t="s">
        <v>3</v>
      </c>
      <c r="C78">
        <v>160.41999999999999</v>
      </c>
      <c r="D78">
        <v>133674777600</v>
      </c>
      <c r="E78" t="s">
        <v>4</v>
      </c>
      <c r="F78">
        <v>119.11</v>
      </c>
      <c r="G78">
        <v>39592164000</v>
      </c>
      <c r="H78" t="s">
        <v>5</v>
      </c>
      <c r="I78">
        <v>22.56</v>
      </c>
      <c r="J78">
        <v>897888000</v>
      </c>
      <c r="K78" t="s">
        <v>6</v>
      </c>
      <c r="L78">
        <v>97</v>
      </c>
      <c r="M78">
        <v>21437000000</v>
      </c>
    </row>
    <row r="79" spans="1:13">
      <c r="A79" s="1">
        <v>41486</v>
      </c>
      <c r="B79" t="s">
        <v>3</v>
      </c>
      <c r="C79">
        <v>168.71</v>
      </c>
      <c r="D79">
        <v>154231307800</v>
      </c>
      <c r="E79" t="s">
        <v>4</v>
      </c>
      <c r="F79">
        <v>127.96</v>
      </c>
      <c r="G79">
        <v>39475660000</v>
      </c>
      <c r="H79" t="s">
        <v>5</v>
      </c>
      <c r="I79">
        <v>22.1</v>
      </c>
      <c r="J79">
        <v>897260000</v>
      </c>
      <c r="K79" t="s">
        <v>6</v>
      </c>
      <c r="L79">
        <v>103.66</v>
      </c>
      <c r="M79">
        <v>26111954000</v>
      </c>
    </row>
    <row r="80" spans="1:13">
      <c r="A80" s="1">
        <v>41516</v>
      </c>
      <c r="B80" t="s">
        <v>3</v>
      </c>
      <c r="C80">
        <v>163.65</v>
      </c>
      <c r="D80">
        <v>135695634300</v>
      </c>
      <c r="E80" t="s">
        <v>4</v>
      </c>
      <c r="F80">
        <v>134.62</v>
      </c>
      <c r="G80">
        <v>41261030000</v>
      </c>
      <c r="H80" t="s">
        <v>5</v>
      </c>
      <c r="I80">
        <v>22.19</v>
      </c>
      <c r="J80">
        <v>896476000</v>
      </c>
      <c r="K80" t="s">
        <v>6</v>
      </c>
      <c r="L80">
        <v>100.38</v>
      </c>
      <c r="M80">
        <v>24367245000</v>
      </c>
    </row>
    <row r="81" spans="1:13">
      <c r="A81" s="1">
        <v>41547</v>
      </c>
      <c r="B81" t="s">
        <v>3</v>
      </c>
      <c r="C81">
        <v>168.01</v>
      </c>
      <c r="D81">
        <v>145888459320</v>
      </c>
      <c r="E81" t="s">
        <v>4</v>
      </c>
      <c r="F81">
        <v>128.18</v>
      </c>
      <c r="G81">
        <v>38812904000</v>
      </c>
      <c r="H81" t="s">
        <v>5</v>
      </c>
      <c r="I81">
        <v>21.63</v>
      </c>
      <c r="J81">
        <v>783006000</v>
      </c>
      <c r="K81" t="s">
        <v>6</v>
      </c>
      <c r="L81">
        <v>106.61</v>
      </c>
      <c r="M81">
        <v>27990455500</v>
      </c>
    </row>
    <row r="82" spans="1:13">
      <c r="A82" s="1">
        <v>41578</v>
      </c>
      <c r="B82" t="s">
        <v>3</v>
      </c>
      <c r="C82">
        <v>175.79</v>
      </c>
      <c r="D82">
        <v>157073990280</v>
      </c>
      <c r="E82" t="s">
        <v>4</v>
      </c>
      <c r="F82">
        <v>127.74</v>
      </c>
      <c r="G82">
        <v>37095696000</v>
      </c>
      <c r="H82" t="s">
        <v>5</v>
      </c>
      <c r="I82">
        <v>21.63</v>
      </c>
      <c r="J82">
        <v>718116000</v>
      </c>
      <c r="K82" t="s">
        <v>6</v>
      </c>
      <c r="L82">
        <v>109.19</v>
      </c>
      <c r="M82">
        <v>24316613000</v>
      </c>
    </row>
    <row r="83" spans="1:13">
      <c r="A83" s="1">
        <v>41607</v>
      </c>
      <c r="B83" t="s">
        <v>3</v>
      </c>
      <c r="C83">
        <v>181</v>
      </c>
      <c r="D83">
        <v>161267742000</v>
      </c>
      <c r="E83" t="s">
        <v>4</v>
      </c>
      <c r="F83">
        <v>120.7</v>
      </c>
      <c r="G83">
        <v>33904630000</v>
      </c>
      <c r="H83" t="s">
        <v>5</v>
      </c>
      <c r="I83">
        <v>21.7</v>
      </c>
      <c r="J83">
        <v>690060000</v>
      </c>
      <c r="K83" t="s">
        <v>6</v>
      </c>
      <c r="L83">
        <v>113.51</v>
      </c>
      <c r="M83">
        <v>26941598500</v>
      </c>
    </row>
    <row r="84" spans="1:13">
      <c r="A84" s="1">
        <v>41638</v>
      </c>
      <c r="B84" t="s">
        <v>3</v>
      </c>
      <c r="C84">
        <v>183.82</v>
      </c>
      <c r="D84">
        <v>173862470600</v>
      </c>
      <c r="E84" t="s">
        <v>4</v>
      </c>
      <c r="F84">
        <v>115.39</v>
      </c>
      <c r="G84">
        <v>30982215000</v>
      </c>
      <c r="H84" t="s">
        <v>5</v>
      </c>
      <c r="I84">
        <v>21.49</v>
      </c>
      <c r="J84">
        <v>683382000</v>
      </c>
      <c r="K84" t="s">
        <v>6</v>
      </c>
      <c r="L84">
        <v>115.09</v>
      </c>
      <c r="M84">
        <v>26833233500</v>
      </c>
    </row>
    <row r="85" spans="1:13">
      <c r="A85" s="1">
        <v>41668</v>
      </c>
      <c r="B85" t="s">
        <v>3</v>
      </c>
      <c r="C85">
        <v>177.35</v>
      </c>
      <c r="D85">
        <v>154867340500</v>
      </c>
      <c r="E85" t="s">
        <v>4</v>
      </c>
      <c r="F85">
        <v>122.47</v>
      </c>
      <c r="G85">
        <v>32270845000</v>
      </c>
      <c r="H85" t="s">
        <v>5</v>
      </c>
      <c r="I85">
        <v>21.63</v>
      </c>
      <c r="J85">
        <v>679182000</v>
      </c>
      <c r="K85" t="s">
        <v>6</v>
      </c>
      <c r="L85">
        <v>111.34</v>
      </c>
      <c r="M85">
        <v>25808612000</v>
      </c>
    </row>
    <row r="86" spans="1:13">
      <c r="A86" s="1">
        <v>41698</v>
      </c>
      <c r="B86" t="s">
        <v>3</v>
      </c>
      <c r="C86">
        <v>186.29</v>
      </c>
      <c r="D86">
        <v>158156484200</v>
      </c>
      <c r="E86" t="s">
        <v>4</v>
      </c>
      <c r="F86">
        <v>127.62</v>
      </c>
      <c r="G86">
        <v>34202160000</v>
      </c>
      <c r="H86" t="s">
        <v>5</v>
      </c>
      <c r="I86">
        <v>21.38</v>
      </c>
      <c r="J86">
        <v>714092000</v>
      </c>
      <c r="K86" t="s">
        <v>6</v>
      </c>
      <c r="L86">
        <v>117.52</v>
      </c>
      <c r="M86">
        <v>26747552000</v>
      </c>
    </row>
    <row r="87" spans="1:13">
      <c r="A87" s="1">
        <v>41729</v>
      </c>
      <c r="B87" t="s">
        <v>3</v>
      </c>
      <c r="C87">
        <v>187.01</v>
      </c>
      <c r="D87">
        <v>157196865800</v>
      </c>
      <c r="E87" t="s">
        <v>4</v>
      </c>
      <c r="F87">
        <v>123.61</v>
      </c>
      <c r="G87">
        <v>33683725000</v>
      </c>
      <c r="H87" t="s">
        <v>5</v>
      </c>
      <c r="I87">
        <v>21.46</v>
      </c>
      <c r="J87">
        <v>669552000</v>
      </c>
      <c r="K87" t="s">
        <v>6</v>
      </c>
      <c r="L87">
        <v>116.34</v>
      </c>
      <c r="M87">
        <v>28509117000</v>
      </c>
    </row>
    <row r="88" spans="1:13">
      <c r="A88" s="1">
        <v>41759</v>
      </c>
      <c r="B88" t="s">
        <v>3</v>
      </c>
      <c r="C88">
        <v>188.31</v>
      </c>
      <c r="D88">
        <v>160577586300</v>
      </c>
      <c r="E88" t="s">
        <v>4</v>
      </c>
      <c r="F88">
        <v>124.22</v>
      </c>
      <c r="G88">
        <v>32831346000</v>
      </c>
      <c r="H88" t="s">
        <v>5</v>
      </c>
      <c r="I88">
        <v>21.28</v>
      </c>
      <c r="J88">
        <v>668192000</v>
      </c>
      <c r="K88" t="s">
        <v>6</v>
      </c>
      <c r="L88">
        <v>111.98</v>
      </c>
      <c r="M88">
        <v>26309701000</v>
      </c>
    </row>
    <row r="89" spans="1:13">
      <c r="A89" s="1">
        <v>41789</v>
      </c>
      <c r="B89" t="s">
        <v>3</v>
      </c>
      <c r="C89">
        <v>192.68</v>
      </c>
      <c r="D89">
        <v>160113226400</v>
      </c>
      <c r="E89" t="s">
        <v>4</v>
      </c>
      <c r="F89">
        <v>120.43</v>
      </c>
      <c r="G89">
        <v>31564703000</v>
      </c>
      <c r="H89" t="s">
        <v>5</v>
      </c>
      <c r="I89">
        <v>21.47</v>
      </c>
      <c r="J89">
        <v>669864000</v>
      </c>
      <c r="K89" t="s">
        <v>6</v>
      </c>
      <c r="L89">
        <v>112.86</v>
      </c>
      <c r="M89">
        <v>24044823000</v>
      </c>
    </row>
    <row r="90" spans="1:13">
      <c r="A90" s="1">
        <v>41820</v>
      </c>
      <c r="B90" t="s">
        <v>3</v>
      </c>
      <c r="C90">
        <v>195.72</v>
      </c>
      <c r="D90">
        <v>168442503600</v>
      </c>
      <c r="E90" t="s">
        <v>4</v>
      </c>
      <c r="F90">
        <v>128.04</v>
      </c>
      <c r="G90">
        <v>33559284000</v>
      </c>
      <c r="H90" t="s">
        <v>5</v>
      </c>
      <c r="I90">
        <v>21.26</v>
      </c>
      <c r="J90">
        <v>710084000</v>
      </c>
      <c r="K90" t="s">
        <v>6</v>
      </c>
      <c r="L90">
        <v>118.81</v>
      </c>
      <c r="M90">
        <v>26126319000</v>
      </c>
    </row>
    <row r="91" spans="1:13">
      <c r="A91" s="1">
        <v>41851</v>
      </c>
      <c r="B91" t="s">
        <v>3</v>
      </c>
      <c r="C91">
        <v>193.09</v>
      </c>
      <c r="D91">
        <v>172821748189</v>
      </c>
      <c r="E91" t="s">
        <v>4</v>
      </c>
      <c r="F91">
        <v>123.39</v>
      </c>
      <c r="G91">
        <v>33043842000</v>
      </c>
      <c r="H91" t="s">
        <v>5</v>
      </c>
      <c r="I91">
        <v>21.74</v>
      </c>
      <c r="J91">
        <v>791336000</v>
      </c>
      <c r="K91" t="s">
        <v>6</v>
      </c>
      <c r="L91">
        <v>111.19</v>
      </c>
      <c r="M91">
        <v>23449971000</v>
      </c>
    </row>
    <row r="92" spans="1:13">
      <c r="A92" s="1">
        <v>41880</v>
      </c>
      <c r="B92" t="s">
        <v>3</v>
      </c>
      <c r="C92">
        <v>200.71</v>
      </c>
      <c r="D92">
        <v>172195531720</v>
      </c>
      <c r="E92" t="s">
        <v>4</v>
      </c>
      <c r="F92">
        <v>123.86</v>
      </c>
      <c r="G92">
        <v>32897216000</v>
      </c>
      <c r="H92" t="s">
        <v>5</v>
      </c>
      <c r="I92">
        <v>22.02</v>
      </c>
      <c r="J92">
        <v>845568000</v>
      </c>
      <c r="K92" t="s">
        <v>6</v>
      </c>
      <c r="L92">
        <v>116.56</v>
      </c>
      <c r="M92">
        <v>24611644000</v>
      </c>
    </row>
    <row r="93" spans="1:13">
      <c r="A93" s="1">
        <v>41912</v>
      </c>
      <c r="B93" t="s">
        <v>3</v>
      </c>
      <c r="C93">
        <v>197.02</v>
      </c>
      <c r="D93">
        <v>180417538342</v>
      </c>
      <c r="E93" t="s">
        <v>4</v>
      </c>
      <c r="F93">
        <v>116.21</v>
      </c>
      <c r="G93">
        <v>29900833000</v>
      </c>
      <c r="H93" t="s">
        <v>5</v>
      </c>
      <c r="I93">
        <v>22.87</v>
      </c>
      <c r="J93">
        <v>695248000</v>
      </c>
      <c r="K93" t="s">
        <v>6</v>
      </c>
      <c r="L93">
        <v>109.35</v>
      </c>
      <c r="M93">
        <v>22405815000</v>
      </c>
    </row>
    <row r="94" spans="1:13">
      <c r="A94" s="1">
        <v>41943</v>
      </c>
      <c r="B94" t="s">
        <v>3</v>
      </c>
      <c r="C94">
        <v>201.66</v>
      </c>
      <c r="D94">
        <v>184827863286</v>
      </c>
      <c r="E94" t="s">
        <v>4</v>
      </c>
      <c r="F94">
        <v>112.66</v>
      </c>
      <c r="G94">
        <v>27917148000</v>
      </c>
      <c r="H94" t="s">
        <v>5</v>
      </c>
      <c r="I94">
        <v>23.09</v>
      </c>
      <c r="J94">
        <v>965162000</v>
      </c>
      <c r="K94" t="s">
        <v>6</v>
      </c>
      <c r="L94">
        <v>116.56</v>
      </c>
      <c r="M94">
        <v>27583924000</v>
      </c>
    </row>
    <row r="95" spans="1:13">
      <c r="A95" s="1">
        <v>41971</v>
      </c>
      <c r="B95" t="s">
        <v>3</v>
      </c>
      <c r="C95">
        <v>207.2</v>
      </c>
      <c r="D95">
        <v>200192931120</v>
      </c>
      <c r="E95" t="s">
        <v>4</v>
      </c>
      <c r="F95">
        <v>112.11</v>
      </c>
      <c r="G95">
        <v>26906400000</v>
      </c>
      <c r="H95" t="s">
        <v>5</v>
      </c>
      <c r="I95">
        <v>23.47</v>
      </c>
      <c r="J95">
        <v>920024000</v>
      </c>
      <c r="K95" t="s">
        <v>6</v>
      </c>
      <c r="L95">
        <v>116.69</v>
      </c>
      <c r="M95">
        <v>27678868000</v>
      </c>
    </row>
    <row r="96" spans="1:13">
      <c r="A96" s="1">
        <v>42003</v>
      </c>
      <c r="B96" t="s">
        <v>3</v>
      </c>
      <c r="C96">
        <v>207.6</v>
      </c>
      <c r="D96">
        <v>218080104720</v>
      </c>
      <c r="E96" t="s">
        <v>4</v>
      </c>
      <c r="F96">
        <v>115.2</v>
      </c>
      <c r="G96">
        <v>27394560000</v>
      </c>
      <c r="H96" t="s">
        <v>5</v>
      </c>
      <c r="I96">
        <v>23.89</v>
      </c>
      <c r="J96">
        <v>1008158000</v>
      </c>
      <c r="K96" t="s">
        <v>6</v>
      </c>
      <c r="L96">
        <v>120.34</v>
      </c>
      <c r="M96">
        <v>30476105000</v>
      </c>
    </row>
    <row r="97" spans="1:13">
      <c r="A97" s="1">
        <v>42034</v>
      </c>
      <c r="B97" t="s">
        <v>3</v>
      </c>
      <c r="C97">
        <v>199.45</v>
      </c>
      <c r="D97">
        <v>181844967345</v>
      </c>
      <c r="E97" t="s">
        <v>4</v>
      </c>
      <c r="F97">
        <v>123.45</v>
      </c>
      <c r="G97">
        <v>31331610000</v>
      </c>
      <c r="H97" t="s">
        <v>5</v>
      </c>
      <c r="I97">
        <v>25.13</v>
      </c>
      <c r="J97">
        <v>1075564929.8099999</v>
      </c>
      <c r="K97" t="s">
        <v>6</v>
      </c>
      <c r="L97">
        <v>115.7</v>
      </c>
      <c r="M97">
        <v>27640730000</v>
      </c>
    </row>
    <row r="98" spans="1:13">
      <c r="A98" s="1">
        <v>42062</v>
      </c>
      <c r="B98" t="s">
        <v>3</v>
      </c>
      <c r="C98">
        <v>210.66</v>
      </c>
      <c r="D98">
        <v>194003535120</v>
      </c>
      <c r="E98" t="s">
        <v>4</v>
      </c>
      <c r="F98">
        <v>116.16</v>
      </c>
      <c r="G98">
        <v>29992512000</v>
      </c>
      <c r="H98" t="s">
        <v>5</v>
      </c>
      <c r="I98">
        <v>25.2</v>
      </c>
      <c r="J98">
        <v>1179360000</v>
      </c>
      <c r="K98" t="s">
        <v>6</v>
      </c>
      <c r="L98">
        <v>122.58</v>
      </c>
      <c r="M98">
        <v>28162755000</v>
      </c>
    </row>
    <row r="99" spans="1:13">
      <c r="A99" s="1">
        <v>42094</v>
      </c>
      <c r="B99" t="s">
        <v>3</v>
      </c>
      <c r="C99">
        <v>206.43</v>
      </c>
      <c r="D99">
        <v>185360123403</v>
      </c>
      <c r="E99" t="s">
        <v>4</v>
      </c>
      <c r="F99">
        <v>113.66</v>
      </c>
      <c r="G99">
        <v>28062654000</v>
      </c>
      <c r="H99" t="s">
        <v>5</v>
      </c>
      <c r="I99">
        <v>25.9</v>
      </c>
      <c r="J99">
        <v>1295000000</v>
      </c>
      <c r="K99" t="s">
        <v>6</v>
      </c>
      <c r="L99">
        <v>124.37</v>
      </c>
      <c r="M99">
        <v>30912163500</v>
      </c>
    </row>
    <row r="100" spans="1:13">
      <c r="A100" s="1">
        <v>42124</v>
      </c>
      <c r="B100" t="s">
        <v>3</v>
      </c>
      <c r="C100">
        <v>208.46</v>
      </c>
      <c r="D100">
        <v>173945715566</v>
      </c>
      <c r="E100" t="s">
        <v>4</v>
      </c>
      <c r="F100">
        <v>113.47</v>
      </c>
      <c r="G100">
        <v>28106519000</v>
      </c>
      <c r="H100" t="s">
        <v>5</v>
      </c>
      <c r="I100">
        <v>24.91</v>
      </c>
      <c r="J100">
        <v>1315248000</v>
      </c>
      <c r="K100" t="s">
        <v>6</v>
      </c>
      <c r="L100">
        <v>121.18</v>
      </c>
      <c r="M100">
        <v>26768662000</v>
      </c>
    </row>
    <row r="101" spans="1:13">
      <c r="A101" s="1">
        <v>42153</v>
      </c>
      <c r="B101" t="s">
        <v>3</v>
      </c>
      <c r="C101">
        <v>211.14</v>
      </c>
      <c r="D101">
        <v>176973768594</v>
      </c>
      <c r="E101" t="s">
        <v>4</v>
      </c>
      <c r="F101">
        <v>114.1</v>
      </c>
      <c r="G101">
        <v>27372590000</v>
      </c>
      <c r="H101" t="s">
        <v>5</v>
      </c>
      <c r="I101">
        <v>25.46</v>
      </c>
      <c r="J101">
        <v>1298461018.4000001</v>
      </c>
      <c r="K101" t="s">
        <v>6</v>
      </c>
      <c r="L101">
        <v>123.89</v>
      </c>
      <c r="M101">
        <v>26623961000</v>
      </c>
    </row>
    <row r="102" spans="1:13">
      <c r="A102" s="1">
        <v>42185</v>
      </c>
      <c r="B102" t="s">
        <v>3</v>
      </c>
      <c r="C102">
        <v>205.85</v>
      </c>
      <c r="D102">
        <v>170378360285</v>
      </c>
      <c r="E102" t="s">
        <v>4</v>
      </c>
      <c r="F102">
        <v>112.37</v>
      </c>
      <c r="G102">
        <v>26800245000</v>
      </c>
      <c r="H102" t="s">
        <v>5</v>
      </c>
      <c r="I102">
        <v>25.03</v>
      </c>
      <c r="J102">
        <v>1401681001.2</v>
      </c>
      <c r="K102" t="s">
        <v>6</v>
      </c>
      <c r="L102">
        <v>124.86</v>
      </c>
      <c r="M102">
        <v>29510661000</v>
      </c>
    </row>
    <row r="103" spans="1:13">
      <c r="A103" s="1">
        <v>42216</v>
      </c>
      <c r="B103" t="s">
        <v>3</v>
      </c>
      <c r="C103">
        <v>210.5</v>
      </c>
      <c r="D103">
        <v>177047792575</v>
      </c>
      <c r="E103" t="s">
        <v>4</v>
      </c>
      <c r="F103">
        <v>104.93</v>
      </c>
      <c r="G103">
        <v>23672208000</v>
      </c>
      <c r="H103" t="s">
        <v>5</v>
      </c>
      <c r="I103">
        <v>25.43</v>
      </c>
      <c r="J103">
        <v>1281673017.2</v>
      </c>
      <c r="K103" t="s">
        <v>6</v>
      </c>
      <c r="L103">
        <v>122.96</v>
      </c>
      <c r="M103">
        <v>27512300000</v>
      </c>
    </row>
    <row r="104" spans="1:13">
      <c r="A104" s="1">
        <v>42247</v>
      </c>
      <c r="B104" t="s">
        <v>3</v>
      </c>
      <c r="C104">
        <v>197.67</v>
      </c>
      <c r="D104">
        <v>167590981090.5</v>
      </c>
      <c r="E104" t="s">
        <v>4</v>
      </c>
      <c r="F104">
        <v>108.82</v>
      </c>
      <c r="G104">
        <v>24919780000</v>
      </c>
      <c r="H104" t="s">
        <v>5</v>
      </c>
      <c r="I104">
        <v>25.06</v>
      </c>
      <c r="J104">
        <v>1333192000</v>
      </c>
      <c r="K104" t="s">
        <v>6</v>
      </c>
      <c r="L104">
        <v>115.2</v>
      </c>
      <c r="M104">
        <v>25441920000</v>
      </c>
    </row>
    <row r="105" spans="1:13">
      <c r="A105" s="1">
        <v>42277</v>
      </c>
      <c r="B105" t="s">
        <v>3</v>
      </c>
      <c r="C105">
        <v>191.63</v>
      </c>
      <c r="D105">
        <v>168180646988.20001</v>
      </c>
      <c r="E105" t="s">
        <v>4</v>
      </c>
      <c r="F105">
        <v>106.86</v>
      </c>
      <c r="G105">
        <v>24652602000</v>
      </c>
      <c r="H105" t="s">
        <v>5</v>
      </c>
      <c r="I105">
        <v>25.1</v>
      </c>
      <c r="J105">
        <v>1039141004</v>
      </c>
      <c r="K105" t="s">
        <v>6</v>
      </c>
      <c r="L105">
        <v>109.2</v>
      </c>
      <c r="M105">
        <v>26169780000</v>
      </c>
    </row>
    <row r="106" spans="1:13">
      <c r="A106" s="1">
        <v>42307</v>
      </c>
      <c r="B106" t="s">
        <v>3</v>
      </c>
      <c r="C106">
        <v>207.93</v>
      </c>
      <c r="D106">
        <v>179523048370.20001</v>
      </c>
      <c r="E106" t="s">
        <v>4</v>
      </c>
      <c r="F106">
        <v>109.3</v>
      </c>
      <c r="G106">
        <v>25401320000</v>
      </c>
      <c r="H106" t="s">
        <v>5</v>
      </c>
      <c r="I106">
        <v>25.25</v>
      </c>
      <c r="J106">
        <v>1020101010</v>
      </c>
      <c r="K106" t="s">
        <v>6</v>
      </c>
      <c r="L106">
        <v>115.34</v>
      </c>
      <c r="M106">
        <v>26418627000</v>
      </c>
    </row>
    <row r="107" spans="1:13">
      <c r="A107" s="1">
        <v>42338</v>
      </c>
      <c r="B107" t="s">
        <v>3</v>
      </c>
      <c r="C107">
        <v>208.69</v>
      </c>
      <c r="D107">
        <v>180659197449</v>
      </c>
      <c r="E107" t="s">
        <v>4</v>
      </c>
      <c r="F107">
        <v>101.92</v>
      </c>
      <c r="G107">
        <v>22412208000</v>
      </c>
      <c r="H107" t="s">
        <v>5</v>
      </c>
      <c r="I107">
        <v>26.08</v>
      </c>
      <c r="J107">
        <v>1152737043.2</v>
      </c>
      <c r="K107" t="s">
        <v>6</v>
      </c>
      <c r="L107">
        <v>119.1</v>
      </c>
      <c r="M107">
        <v>29084220000</v>
      </c>
    </row>
    <row r="108" spans="1:13">
      <c r="A108" s="1">
        <v>42368</v>
      </c>
      <c r="B108" t="s">
        <v>3</v>
      </c>
      <c r="C108">
        <v>205.93</v>
      </c>
      <c r="D108">
        <v>185858435353</v>
      </c>
      <c r="E108" t="s">
        <v>4</v>
      </c>
      <c r="F108">
        <v>101.42</v>
      </c>
      <c r="G108">
        <v>21927004000</v>
      </c>
      <c r="H108" t="s">
        <v>5</v>
      </c>
      <c r="I108">
        <v>25.52</v>
      </c>
      <c r="J108">
        <v>1127984000</v>
      </c>
      <c r="K108" t="s">
        <v>6</v>
      </c>
      <c r="L108">
        <v>114.04</v>
      </c>
      <c r="M108">
        <v>28053840000</v>
      </c>
    </row>
    <row r="109" spans="1:13">
      <c r="A109" s="1">
        <v>42398</v>
      </c>
      <c r="B109" t="s">
        <v>3</v>
      </c>
      <c r="C109">
        <v>193.72</v>
      </c>
      <c r="D109">
        <v>174509204098</v>
      </c>
      <c r="E109" t="s">
        <v>4</v>
      </c>
      <c r="F109">
        <v>106.95</v>
      </c>
      <c r="G109">
        <v>24053055000</v>
      </c>
      <c r="H109" t="s">
        <v>5</v>
      </c>
      <c r="I109">
        <v>25.86</v>
      </c>
      <c r="J109">
        <v>967164000</v>
      </c>
      <c r="K109" t="s">
        <v>6</v>
      </c>
      <c r="L109">
        <v>102.96</v>
      </c>
      <c r="M109">
        <v>24422112000</v>
      </c>
    </row>
    <row r="110" spans="1:13">
      <c r="A110" s="1">
        <v>42429</v>
      </c>
      <c r="B110" t="s">
        <v>3</v>
      </c>
      <c r="C110">
        <v>193.56</v>
      </c>
      <c r="D110">
        <v>170822913276</v>
      </c>
      <c r="E110" t="s">
        <v>4</v>
      </c>
      <c r="F110">
        <v>118.64</v>
      </c>
      <c r="G110">
        <v>31000632000</v>
      </c>
      <c r="H110" t="s">
        <v>5</v>
      </c>
      <c r="I110">
        <v>25.49</v>
      </c>
      <c r="J110">
        <v>876856000</v>
      </c>
      <c r="K110" t="s">
        <v>6</v>
      </c>
      <c r="L110">
        <v>102.73</v>
      </c>
      <c r="M110">
        <v>22852288500</v>
      </c>
    </row>
    <row r="111" spans="1:13">
      <c r="A111" s="1">
        <v>42460</v>
      </c>
      <c r="B111" t="s">
        <v>3</v>
      </c>
      <c r="C111">
        <v>205.52</v>
      </c>
      <c r="D111">
        <v>184368323468</v>
      </c>
      <c r="E111" t="s">
        <v>4</v>
      </c>
      <c r="F111">
        <v>117.64</v>
      </c>
      <c r="G111">
        <v>32409820000</v>
      </c>
      <c r="H111" t="s">
        <v>5</v>
      </c>
      <c r="I111">
        <v>24.54</v>
      </c>
      <c r="J111">
        <v>834360981.60000002</v>
      </c>
      <c r="K111" t="s">
        <v>6</v>
      </c>
      <c r="L111">
        <v>110.63</v>
      </c>
      <c r="M111">
        <v>25284486500</v>
      </c>
    </row>
    <row r="112" spans="1:13">
      <c r="A112" s="1">
        <v>42489</v>
      </c>
      <c r="B112" t="s">
        <v>3</v>
      </c>
      <c r="C112">
        <v>206.33</v>
      </c>
      <c r="D112">
        <v>185321912693</v>
      </c>
      <c r="E112" t="s">
        <v>4</v>
      </c>
      <c r="F112">
        <v>123.65</v>
      </c>
      <c r="G112">
        <v>33447325000</v>
      </c>
      <c r="H112" t="s">
        <v>5</v>
      </c>
      <c r="I112">
        <v>24.1</v>
      </c>
      <c r="J112">
        <v>790480000</v>
      </c>
      <c r="K112" t="s">
        <v>6</v>
      </c>
      <c r="L112">
        <v>112.48</v>
      </c>
      <c r="M112">
        <v>26539656000</v>
      </c>
    </row>
    <row r="113" spans="1:13">
      <c r="A113" s="1">
        <v>42521</v>
      </c>
      <c r="B113" t="s">
        <v>3</v>
      </c>
      <c r="C113">
        <v>209.84</v>
      </c>
      <c r="D113">
        <v>183889538356</v>
      </c>
      <c r="E113" t="s">
        <v>4</v>
      </c>
      <c r="F113">
        <v>116.06</v>
      </c>
      <c r="G113">
        <v>33924338000</v>
      </c>
      <c r="H113" t="s">
        <v>5</v>
      </c>
      <c r="I113">
        <v>24.84</v>
      </c>
      <c r="J113">
        <v>854496993.60000002</v>
      </c>
      <c r="K113" t="s">
        <v>6</v>
      </c>
      <c r="L113">
        <v>115</v>
      </c>
      <c r="M113">
        <v>26375250000</v>
      </c>
    </row>
    <row r="114" spans="1:13">
      <c r="A114" s="1">
        <v>42551</v>
      </c>
      <c r="B114" t="s">
        <v>3</v>
      </c>
      <c r="C114">
        <v>209.48</v>
      </c>
      <c r="D114">
        <v>177310596308</v>
      </c>
      <c r="E114" t="s">
        <v>4</v>
      </c>
      <c r="F114">
        <v>126.47</v>
      </c>
      <c r="G114">
        <v>40445106000</v>
      </c>
      <c r="H114" t="s">
        <v>5</v>
      </c>
      <c r="I114">
        <v>24.84</v>
      </c>
      <c r="J114">
        <v>834624000</v>
      </c>
      <c r="K114" t="s">
        <v>6</v>
      </c>
      <c r="L114">
        <v>114.98</v>
      </c>
      <c r="M114">
        <v>25450823000</v>
      </c>
    </row>
    <row r="115" spans="1:13">
      <c r="A115" s="1">
        <v>42580</v>
      </c>
      <c r="B115" t="s">
        <v>3</v>
      </c>
      <c r="C115">
        <v>217.12</v>
      </c>
      <c r="D115">
        <v>197824979840</v>
      </c>
      <c r="E115" t="s">
        <v>4</v>
      </c>
      <c r="F115">
        <v>128.97999999999999</v>
      </c>
      <c r="G115">
        <v>41441274000</v>
      </c>
      <c r="H115" t="s">
        <v>5</v>
      </c>
      <c r="I115">
        <v>24.67</v>
      </c>
      <c r="J115">
        <v>828912000</v>
      </c>
      <c r="K115" t="s">
        <v>6</v>
      </c>
      <c r="L115">
        <v>121.07</v>
      </c>
      <c r="M115">
        <v>27785565000</v>
      </c>
    </row>
    <row r="116" spans="1:13">
      <c r="A116" s="1">
        <v>42613</v>
      </c>
      <c r="B116" t="s">
        <v>3</v>
      </c>
      <c r="C116">
        <v>217.38</v>
      </c>
      <c r="D116">
        <v>198235799898</v>
      </c>
      <c r="E116" t="s">
        <v>4</v>
      </c>
      <c r="F116">
        <v>124.78</v>
      </c>
      <c r="G116">
        <v>39642606000</v>
      </c>
      <c r="H116" t="s">
        <v>5</v>
      </c>
      <c r="I116">
        <v>24.82</v>
      </c>
      <c r="J116">
        <v>764456000</v>
      </c>
      <c r="K116" t="s">
        <v>6</v>
      </c>
      <c r="L116">
        <v>123.23</v>
      </c>
      <c r="M116">
        <v>27985533000</v>
      </c>
    </row>
    <row r="117" spans="1:13">
      <c r="A117" s="1">
        <v>42643</v>
      </c>
      <c r="B117" t="s">
        <v>3</v>
      </c>
      <c r="C117">
        <v>216.3</v>
      </c>
      <c r="D117">
        <v>198797469045</v>
      </c>
      <c r="E117" t="s">
        <v>4</v>
      </c>
      <c r="F117">
        <v>125.64</v>
      </c>
      <c r="G117">
        <v>40129416000</v>
      </c>
      <c r="H117" t="s">
        <v>5</v>
      </c>
      <c r="I117">
        <v>24.68</v>
      </c>
      <c r="J117">
        <v>740400000</v>
      </c>
      <c r="K117" t="s">
        <v>6</v>
      </c>
      <c r="L117">
        <v>124.21</v>
      </c>
      <c r="M117">
        <v>28524826500</v>
      </c>
    </row>
    <row r="118" spans="1:13">
      <c r="A118" s="1">
        <v>42674</v>
      </c>
      <c r="B118" t="s">
        <v>3</v>
      </c>
      <c r="C118">
        <v>212.55</v>
      </c>
      <c r="D118">
        <v>195319017855</v>
      </c>
      <c r="E118" t="s">
        <v>4</v>
      </c>
      <c r="F118">
        <v>121.94</v>
      </c>
      <c r="G118">
        <v>38740338000</v>
      </c>
      <c r="H118" t="s">
        <v>5</v>
      </c>
      <c r="I118">
        <v>25.42</v>
      </c>
      <c r="J118">
        <v>859196940.53999996</v>
      </c>
      <c r="K118" t="s">
        <v>6</v>
      </c>
      <c r="L118">
        <v>118.5</v>
      </c>
      <c r="M118">
        <v>26970600000</v>
      </c>
    </row>
    <row r="119" spans="1:13">
      <c r="A119" s="1">
        <v>42704</v>
      </c>
      <c r="B119" t="s">
        <v>3</v>
      </c>
      <c r="C119">
        <v>220.38</v>
      </c>
      <c r="D119">
        <v>209081580198</v>
      </c>
      <c r="E119" t="s">
        <v>4</v>
      </c>
      <c r="F119">
        <v>111.75</v>
      </c>
      <c r="G119">
        <v>33301500000</v>
      </c>
      <c r="H119" t="s">
        <v>5</v>
      </c>
      <c r="I119">
        <v>26.25</v>
      </c>
      <c r="J119">
        <v>861000000</v>
      </c>
      <c r="K119" t="s">
        <v>6</v>
      </c>
      <c r="L119">
        <v>131.61000000000001</v>
      </c>
      <c r="M119">
        <v>36423071448.300003</v>
      </c>
    </row>
    <row r="120" spans="1:13">
      <c r="A120" s="1">
        <v>42733</v>
      </c>
      <c r="B120" t="s">
        <v>3</v>
      </c>
      <c r="C120">
        <v>224.35</v>
      </c>
      <c r="D120">
        <v>224839554135</v>
      </c>
      <c r="E120" t="s">
        <v>4</v>
      </c>
      <c r="F120">
        <v>110.29</v>
      </c>
      <c r="G120">
        <v>30627533000</v>
      </c>
      <c r="H120" t="s">
        <v>5</v>
      </c>
      <c r="I120">
        <v>26.54</v>
      </c>
      <c r="J120">
        <v>886436000</v>
      </c>
      <c r="K120" t="s">
        <v>6</v>
      </c>
      <c r="L120">
        <v>135.37</v>
      </c>
      <c r="M120">
        <v>38465388207.400002</v>
      </c>
    </row>
    <row r="121" spans="1:13">
      <c r="A121" s="1">
        <v>42766</v>
      </c>
      <c r="B121" t="s">
        <v>3</v>
      </c>
      <c r="C121">
        <v>227.53</v>
      </c>
      <c r="D121">
        <v>228048768400</v>
      </c>
      <c r="E121" t="s">
        <v>4</v>
      </c>
      <c r="F121">
        <v>115.55</v>
      </c>
      <c r="G121">
        <v>31152280000</v>
      </c>
      <c r="H121" t="s">
        <v>5</v>
      </c>
      <c r="I121">
        <v>25.73</v>
      </c>
      <c r="J121">
        <v>777046000</v>
      </c>
      <c r="K121" t="s">
        <v>6</v>
      </c>
      <c r="L121">
        <v>135.22999999999999</v>
      </c>
      <c r="M121">
        <v>37729170000</v>
      </c>
    </row>
    <row r="122" spans="1:13">
      <c r="A122" s="1">
        <v>42794</v>
      </c>
      <c r="B122" t="s">
        <v>3</v>
      </c>
      <c r="C122">
        <v>236.47</v>
      </c>
      <c r="D122">
        <v>235330687540</v>
      </c>
      <c r="E122" t="s">
        <v>4</v>
      </c>
      <c r="F122">
        <v>119.23</v>
      </c>
      <c r="G122">
        <v>33849397000</v>
      </c>
      <c r="H122" t="s">
        <v>5</v>
      </c>
      <c r="I122">
        <v>26.11</v>
      </c>
      <c r="J122">
        <v>793744000</v>
      </c>
      <c r="K122" t="s">
        <v>6</v>
      </c>
      <c r="L122">
        <v>137.84</v>
      </c>
      <c r="M122">
        <v>36844632000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최종버전_로그</vt:lpstr>
      <vt:lpstr>Sheet1</vt:lpstr>
      <vt:lpstr>기초 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LSG</dc:creator>
  <cp:lastModifiedBy>quantec</cp:lastModifiedBy>
  <dcterms:created xsi:type="dcterms:W3CDTF">2017-04-20T08:35:31Z</dcterms:created>
  <dcterms:modified xsi:type="dcterms:W3CDTF">2018-07-13T07:10:21Z</dcterms:modified>
</cp:coreProperties>
</file>